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jonas.palazzo\OneDrive - OSPADEP\Escritorio\JONAS\AUMENTOS Y PRECIOS\2026\MARZO\LISTA DE PRECIOS\"/>
    </mc:Choice>
  </mc:AlternateContent>
  <xr:revisionPtr revIDLastSave="0" documentId="8_{54471633-EDD4-421E-9297-9776E0B54AB3}" xr6:coauthVersionLast="47" xr6:coauthVersionMax="47" xr10:uidLastSave="{00000000-0000-0000-0000-000000000000}"/>
  <bookViews>
    <workbookView xWindow="-105" yWindow="-105" windowWidth="19425" windowHeight="10305" firstSheet="3" activeTab="3" xr2:uid="{00000000-000D-0000-FFFF-FFFF00000000}"/>
  </bookViews>
  <sheets>
    <sheet name="OSPADEP SALUD" sheetId="11" r:id="rId1"/>
    <sheet name="GALENO PD" sheetId="8" r:id="rId2"/>
    <sheet name="VISITAR" sheetId="7" r:id="rId3"/>
    <sheet name="OMINT" sheetId="1" r:id="rId4"/>
    <sheet name="MEDIFE" sheetId="2" r:id="rId5"/>
    <sheet name="ACTIVA SALUD" sheetId="3" r:id="rId6"/>
    <sheet name="SW NUBIAL" sheetId="4" r:id="rId7"/>
    <sheet name="SW SB02" sheetId="5" r:id="rId8"/>
    <sheet name="SW PO62 PO64 SB04" sheetId="6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1" l="1"/>
  <c r="G30" i="11" s="1"/>
  <c r="G35" i="11" l="1"/>
  <c r="G34" i="11"/>
  <c r="G33" i="11"/>
  <c r="G17" i="11"/>
  <c r="G18" i="11"/>
  <c r="K19" i="11"/>
  <c r="G32" i="11"/>
  <c r="G37" i="11"/>
  <c r="G22" i="11"/>
  <c r="G36" i="11"/>
  <c r="G21" i="11"/>
  <c r="K21" i="11"/>
  <c r="K20" i="11"/>
  <c r="G25" i="11"/>
  <c r="K17" i="11"/>
  <c r="K18" i="11"/>
  <c r="G31" i="11"/>
  <c r="G23" i="11"/>
  <c r="K24" i="11"/>
  <c r="K23" i="11"/>
  <c r="K22" i="11"/>
  <c r="G20" i="11"/>
  <c r="G19" i="11"/>
  <c r="G24" i="11"/>
  <c r="K25" i="11"/>
  <c r="G29" i="11"/>
  <c r="I30" i="2"/>
  <c r="M30" i="2" s="1"/>
  <c r="Q30" i="2" s="1"/>
  <c r="U30" i="2" s="1"/>
  <c r="Y30" i="2" s="1"/>
  <c r="AC30" i="2" s="1"/>
  <c r="AG30" i="2" s="1"/>
  <c r="AK30" i="2" s="1"/>
  <c r="AO30" i="2" s="1"/>
  <c r="AS30" i="2" s="1"/>
  <c r="AW30" i="2" s="1"/>
  <c r="BA30" i="2" s="1"/>
  <c r="BE30" i="2" s="1"/>
  <c r="H30" i="2"/>
  <c r="L30" i="2" s="1"/>
  <c r="P30" i="2" s="1"/>
  <c r="T30" i="2" s="1"/>
  <c r="X30" i="2" s="1"/>
  <c r="AB30" i="2" s="1"/>
  <c r="AF30" i="2" s="1"/>
  <c r="AJ30" i="2" s="1"/>
  <c r="AN30" i="2" s="1"/>
  <c r="AR30" i="2" s="1"/>
  <c r="AV30" i="2" s="1"/>
  <c r="AZ30" i="2" s="1"/>
  <c r="BD30" i="2" s="1"/>
  <c r="G30" i="2"/>
  <c r="K30" i="2" s="1"/>
  <c r="O30" i="2" s="1"/>
  <c r="S30" i="2" s="1"/>
  <c r="W30" i="2" s="1"/>
  <c r="AA30" i="2" s="1"/>
  <c r="AE30" i="2" s="1"/>
  <c r="AI30" i="2" s="1"/>
  <c r="AM30" i="2" s="1"/>
  <c r="AQ30" i="2" s="1"/>
  <c r="AU30" i="2" s="1"/>
  <c r="AY30" i="2" s="1"/>
  <c r="BC30" i="2" s="1"/>
  <c r="I29" i="2"/>
  <c r="M29" i="2" s="1"/>
  <c r="Q29" i="2" s="1"/>
  <c r="U29" i="2" s="1"/>
  <c r="Y29" i="2" s="1"/>
  <c r="AC29" i="2" s="1"/>
  <c r="AG29" i="2" s="1"/>
  <c r="AK29" i="2" s="1"/>
  <c r="AO29" i="2" s="1"/>
  <c r="AS29" i="2" s="1"/>
  <c r="AW29" i="2" s="1"/>
  <c r="BA29" i="2" s="1"/>
  <c r="BE29" i="2" s="1"/>
  <c r="H29" i="2"/>
  <c r="L29" i="2" s="1"/>
  <c r="P29" i="2" s="1"/>
  <c r="T29" i="2" s="1"/>
  <c r="X29" i="2" s="1"/>
  <c r="AB29" i="2" s="1"/>
  <c r="AF29" i="2" s="1"/>
  <c r="AJ29" i="2" s="1"/>
  <c r="AN29" i="2" s="1"/>
  <c r="AR29" i="2" s="1"/>
  <c r="AV29" i="2" s="1"/>
  <c r="AZ29" i="2" s="1"/>
  <c r="BD29" i="2" s="1"/>
  <c r="G29" i="2"/>
  <c r="K29" i="2" s="1"/>
  <c r="O29" i="2" s="1"/>
  <c r="S29" i="2" s="1"/>
  <c r="W29" i="2" s="1"/>
  <c r="AA29" i="2" s="1"/>
  <c r="AE29" i="2" s="1"/>
  <c r="AI29" i="2" s="1"/>
  <c r="AM29" i="2" s="1"/>
  <c r="AQ29" i="2" s="1"/>
  <c r="AU29" i="2" s="1"/>
  <c r="AY29" i="2" s="1"/>
  <c r="BC29" i="2" s="1"/>
  <c r="I28" i="2"/>
  <c r="M28" i="2" s="1"/>
  <c r="Q28" i="2" s="1"/>
  <c r="U28" i="2" s="1"/>
  <c r="Y28" i="2" s="1"/>
  <c r="AC28" i="2" s="1"/>
  <c r="AG28" i="2" s="1"/>
  <c r="AK28" i="2" s="1"/>
  <c r="AO28" i="2" s="1"/>
  <c r="AS28" i="2" s="1"/>
  <c r="AW28" i="2" s="1"/>
  <c r="BA28" i="2" s="1"/>
  <c r="BE28" i="2" s="1"/>
  <c r="H28" i="2"/>
  <c r="L28" i="2" s="1"/>
  <c r="P28" i="2" s="1"/>
  <c r="T28" i="2" s="1"/>
  <c r="X28" i="2" s="1"/>
  <c r="AB28" i="2" s="1"/>
  <c r="AF28" i="2" s="1"/>
  <c r="AJ28" i="2" s="1"/>
  <c r="AN28" i="2" s="1"/>
  <c r="AR28" i="2" s="1"/>
  <c r="AV28" i="2" s="1"/>
  <c r="AZ28" i="2" s="1"/>
  <c r="BD28" i="2" s="1"/>
  <c r="G28" i="2"/>
  <c r="K28" i="2" s="1"/>
  <c r="O28" i="2" s="1"/>
  <c r="S28" i="2" s="1"/>
  <c r="W28" i="2" s="1"/>
  <c r="AA28" i="2" s="1"/>
  <c r="AE28" i="2" s="1"/>
  <c r="AI28" i="2" s="1"/>
  <c r="AM28" i="2" s="1"/>
  <c r="AQ28" i="2" s="1"/>
  <c r="AU28" i="2" s="1"/>
  <c r="AY28" i="2" s="1"/>
  <c r="BC28" i="2" s="1"/>
  <c r="I27" i="2"/>
  <c r="M27" i="2" s="1"/>
  <c r="Q27" i="2" s="1"/>
  <c r="U27" i="2" s="1"/>
  <c r="Y27" i="2" s="1"/>
  <c r="AC27" i="2" s="1"/>
  <c r="AG27" i="2" s="1"/>
  <c r="AK27" i="2" s="1"/>
  <c r="AO27" i="2" s="1"/>
  <c r="AS27" i="2" s="1"/>
  <c r="AW27" i="2" s="1"/>
  <c r="BA27" i="2" s="1"/>
  <c r="BE27" i="2" s="1"/>
  <c r="H27" i="2"/>
  <c r="L27" i="2" s="1"/>
  <c r="P27" i="2" s="1"/>
  <c r="T27" i="2" s="1"/>
  <c r="X27" i="2" s="1"/>
  <c r="AB27" i="2" s="1"/>
  <c r="AF27" i="2" s="1"/>
  <c r="AJ27" i="2" s="1"/>
  <c r="AN27" i="2" s="1"/>
  <c r="AR27" i="2" s="1"/>
  <c r="AV27" i="2" s="1"/>
  <c r="AZ27" i="2" s="1"/>
  <c r="BD27" i="2" s="1"/>
  <c r="G27" i="2"/>
  <c r="K27" i="2" s="1"/>
  <c r="O27" i="2" s="1"/>
  <c r="S27" i="2" s="1"/>
  <c r="W27" i="2" s="1"/>
  <c r="AA27" i="2" s="1"/>
  <c r="AE27" i="2" s="1"/>
  <c r="AI27" i="2" s="1"/>
  <c r="AM27" i="2" s="1"/>
  <c r="AQ27" i="2" s="1"/>
  <c r="AU27" i="2" s="1"/>
  <c r="AY27" i="2" s="1"/>
  <c r="BC27" i="2" s="1"/>
  <c r="BK27" i="2" s="1"/>
  <c r="I26" i="2"/>
  <c r="M26" i="2" s="1"/>
  <c r="Q26" i="2" s="1"/>
  <c r="U26" i="2" s="1"/>
  <c r="Y26" i="2" s="1"/>
  <c r="AC26" i="2" s="1"/>
  <c r="AG26" i="2" s="1"/>
  <c r="AK26" i="2" s="1"/>
  <c r="AO26" i="2" s="1"/>
  <c r="AS26" i="2" s="1"/>
  <c r="AW26" i="2" s="1"/>
  <c r="BA26" i="2" s="1"/>
  <c r="BE26" i="2" s="1"/>
  <c r="H26" i="2"/>
  <c r="L26" i="2" s="1"/>
  <c r="P26" i="2" s="1"/>
  <c r="T26" i="2" s="1"/>
  <c r="X26" i="2" s="1"/>
  <c r="AB26" i="2" s="1"/>
  <c r="AF26" i="2" s="1"/>
  <c r="AJ26" i="2" s="1"/>
  <c r="AN26" i="2" s="1"/>
  <c r="AR26" i="2" s="1"/>
  <c r="AV26" i="2" s="1"/>
  <c r="AZ26" i="2" s="1"/>
  <c r="BD26" i="2" s="1"/>
  <c r="G26" i="2"/>
  <c r="K26" i="2" s="1"/>
  <c r="O26" i="2" s="1"/>
  <c r="S26" i="2" s="1"/>
  <c r="W26" i="2" s="1"/>
  <c r="AA26" i="2" s="1"/>
  <c r="AE26" i="2" s="1"/>
  <c r="AI26" i="2" s="1"/>
  <c r="AM26" i="2" s="1"/>
  <c r="AQ26" i="2" s="1"/>
  <c r="AU26" i="2" s="1"/>
  <c r="AY26" i="2" s="1"/>
  <c r="BC26" i="2" s="1"/>
  <c r="I25" i="2"/>
  <c r="M25" i="2" s="1"/>
  <c r="Q25" i="2" s="1"/>
  <c r="U25" i="2" s="1"/>
  <c r="Y25" i="2" s="1"/>
  <c r="AC25" i="2" s="1"/>
  <c r="AG25" i="2" s="1"/>
  <c r="AK25" i="2" s="1"/>
  <c r="AO25" i="2" s="1"/>
  <c r="AS25" i="2" s="1"/>
  <c r="AW25" i="2" s="1"/>
  <c r="BA25" i="2" s="1"/>
  <c r="BE25" i="2" s="1"/>
  <c r="H25" i="2"/>
  <c r="L25" i="2" s="1"/>
  <c r="P25" i="2" s="1"/>
  <c r="T25" i="2" s="1"/>
  <c r="X25" i="2" s="1"/>
  <c r="AB25" i="2" s="1"/>
  <c r="AF25" i="2" s="1"/>
  <c r="AJ25" i="2" s="1"/>
  <c r="AN25" i="2" s="1"/>
  <c r="AR25" i="2" s="1"/>
  <c r="AV25" i="2" s="1"/>
  <c r="AZ25" i="2" s="1"/>
  <c r="BD25" i="2" s="1"/>
  <c r="BL25" i="2" s="1"/>
  <c r="G25" i="2"/>
  <c r="K25" i="2" s="1"/>
  <c r="O25" i="2" s="1"/>
  <c r="S25" i="2" s="1"/>
  <c r="W25" i="2" s="1"/>
  <c r="AA25" i="2" s="1"/>
  <c r="AE25" i="2" s="1"/>
  <c r="AI25" i="2" s="1"/>
  <c r="AM25" i="2" s="1"/>
  <c r="AQ25" i="2" s="1"/>
  <c r="AU25" i="2" s="1"/>
  <c r="AY25" i="2" s="1"/>
  <c r="BC25" i="2" s="1"/>
  <c r="I24" i="2"/>
  <c r="M24" i="2" s="1"/>
  <c r="Q24" i="2" s="1"/>
  <c r="U24" i="2" s="1"/>
  <c r="Y24" i="2" s="1"/>
  <c r="AC24" i="2" s="1"/>
  <c r="AG24" i="2" s="1"/>
  <c r="AK24" i="2" s="1"/>
  <c r="AO24" i="2" s="1"/>
  <c r="AS24" i="2" s="1"/>
  <c r="AW24" i="2" s="1"/>
  <c r="BA24" i="2" s="1"/>
  <c r="BE24" i="2" s="1"/>
  <c r="H24" i="2"/>
  <c r="L24" i="2" s="1"/>
  <c r="P24" i="2" s="1"/>
  <c r="T24" i="2" s="1"/>
  <c r="X24" i="2" s="1"/>
  <c r="AB24" i="2" s="1"/>
  <c r="AF24" i="2" s="1"/>
  <c r="AJ24" i="2" s="1"/>
  <c r="AN24" i="2" s="1"/>
  <c r="AR24" i="2" s="1"/>
  <c r="AV24" i="2" s="1"/>
  <c r="AZ24" i="2" s="1"/>
  <c r="BD24" i="2" s="1"/>
  <c r="G24" i="2"/>
  <c r="K24" i="2" s="1"/>
  <c r="O24" i="2" s="1"/>
  <c r="S24" i="2" s="1"/>
  <c r="W24" i="2" s="1"/>
  <c r="AA24" i="2" s="1"/>
  <c r="AE24" i="2" s="1"/>
  <c r="AI24" i="2" s="1"/>
  <c r="AM24" i="2" s="1"/>
  <c r="AQ24" i="2" s="1"/>
  <c r="AU24" i="2" s="1"/>
  <c r="AY24" i="2" s="1"/>
  <c r="BC24" i="2" s="1"/>
  <c r="I23" i="2"/>
  <c r="M23" i="2" s="1"/>
  <c r="Q23" i="2" s="1"/>
  <c r="U23" i="2" s="1"/>
  <c r="Y23" i="2" s="1"/>
  <c r="AC23" i="2" s="1"/>
  <c r="AG23" i="2" s="1"/>
  <c r="AK23" i="2" s="1"/>
  <c r="AO23" i="2" s="1"/>
  <c r="AS23" i="2" s="1"/>
  <c r="AW23" i="2" s="1"/>
  <c r="BA23" i="2" s="1"/>
  <c r="BE23" i="2" s="1"/>
  <c r="H23" i="2"/>
  <c r="L23" i="2" s="1"/>
  <c r="P23" i="2" s="1"/>
  <c r="T23" i="2" s="1"/>
  <c r="X23" i="2" s="1"/>
  <c r="AB23" i="2" s="1"/>
  <c r="AF23" i="2" s="1"/>
  <c r="AJ23" i="2" s="1"/>
  <c r="AN23" i="2" s="1"/>
  <c r="AR23" i="2" s="1"/>
  <c r="AV23" i="2" s="1"/>
  <c r="AZ23" i="2" s="1"/>
  <c r="BD23" i="2" s="1"/>
  <c r="BL23" i="2" s="1"/>
  <c r="G23" i="2"/>
  <c r="K23" i="2" s="1"/>
  <c r="O23" i="2" s="1"/>
  <c r="S23" i="2" s="1"/>
  <c r="W23" i="2" s="1"/>
  <c r="AA23" i="2" s="1"/>
  <c r="AE23" i="2" s="1"/>
  <c r="AI23" i="2" s="1"/>
  <c r="AM23" i="2" s="1"/>
  <c r="AQ23" i="2" s="1"/>
  <c r="AU23" i="2" s="1"/>
  <c r="AY23" i="2" s="1"/>
  <c r="BC23" i="2" s="1"/>
  <c r="I22" i="2"/>
  <c r="M22" i="2" s="1"/>
  <c r="Q22" i="2" s="1"/>
  <c r="U22" i="2" s="1"/>
  <c r="Y22" i="2" s="1"/>
  <c r="AC22" i="2" s="1"/>
  <c r="AG22" i="2" s="1"/>
  <c r="AK22" i="2" s="1"/>
  <c r="AO22" i="2" s="1"/>
  <c r="AS22" i="2" s="1"/>
  <c r="AW22" i="2" s="1"/>
  <c r="BA22" i="2" s="1"/>
  <c r="BE22" i="2" s="1"/>
  <c r="H22" i="2"/>
  <c r="L22" i="2" s="1"/>
  <c r="P22" i="2" s="1"/>
  <c r="T22" i="2" s="1"/>
  <c r="X22" i="2" s="1"/>
  <c r="AB22" i="2" s="1"/>
  <c r="AF22" i="2" s="1"/>
  <c r="AJ22" i="2" s="1"/>
  <c r="AN22" i="2" s="1"/>
  <c r="AR22" i="2" s="1"/>
  <c r="AV22" i="2" s="1"/>
  <c r="AZ22" i="2" s="1"/>
  <c r="BD22" i="2" s="1"/>
  <c r="G22" i="2"/>
  <c r="K22" i="2" s="1"/>
  <c r="O22" i="2" s="1"/>
  <c r="S22" i="2" s="1"/>
  <c r="W22" i="2" s="1"/>
  <c r="AA22" i="2" s="1"/>
  <c r="AE22" i="2" s="1"/>
  <c r="AI22" i="2" s="1"/>
  <c r="AM22" i="2" s="1"/>
  <c r="AQ22" i="2" s="1"/>
  <c r="AU22" i="2" s="1"/>
  <c r="AY22" i="2" s="1"/>
  <c r="BC22" i="2" s="1"/>
  <c r="I21" i="2"/>
  <c r="M21" i="2" s="1"/>
  <c r="Q21" i="2" s="1"/>
  <c r="U21" i="2" s="1"/>
  <c r="Y21" i="2" s="1"/>
  <c r="AC21" i="2" s="1"/>
  <c r="AG21" i="2" s="1"/>
  <c r="AK21" i="2" s="1"/>
  <c r="AO21" i="2" s="1"/>
  <c r="AS21" i="2" s="1"/>
  <c r="AW21" i="2" s="1"/>
  <c r="BA21" i="2" s="1"/>
  <c r="BE21" i="2" s="1"/>
  <c r="H21" i="2"/>
  <c r="L21" i="2" s="1"/>
  <c r="P21" i="2" s="1"/>
  <c r="T21" i="2" s="1"/>
  <c r="X21" i="2" s="1"/>
  <c r="AB21" i="2" s="1"/>
  <c r="AF21" i="2" s="1"/>
  <c r="AJ21" i="2" s="1"/>
  <c r="AN21" i="2" s="1"/>
  <c r="AR21" i="2" s="1"/>
  <c r="AV21" i="2" s="1"/>
  <c r="AZ21" i="2" s="1"/>
  <c r="BD21" i="2" s="1"/>
  <c r="G21" i="2"/>
  <c r="K21" i="2" s="1"/>
  <c r="O21" i="2" s="1"/>
  <c r="S21" i="2" s="1"/>
  <c r="W21" i="2" s="1"/>
  <c r="AA21" i="2" s="1"/>
  <c r="AE21" i="2" s="1"/>
  <c r="AI21" i="2" s="1"/>
  <c r="AM21" i="2" s="1"/>
  <c r="AQ21" i="2" s="1"/>
  <c r="AU21" i="2" s="1"/>
  <c r="AY21" i="2" s="1"/>
  <c r="BC21" i="2" s="1"/>
  <c r="I20" i="2"/>
  <c r="M20" i="2" s="1"/>
  <c r="Q20" i="2" s="1"/>
  <c r="U20" i="2" s="1"/>
  <c r="Y20" i="2" s="1"/>
  <c r="AC20" i="2" s="1"/>
  <c r="AG20" i="2" s="1"/>
  <c r="AK20" i="2" s="1"/>
  <c r="AO20" i="2" s="1"/>
  <c r="AS20" i="2" s="1"/>
  <c r="AW20" i="2" s="1"/>
  <c r="BA20" i="2" s="1"/>
  <c r="BE20" i="2" s="1"/>
  <c r="H20" i="2"/>
  <c r="L20" i="2" s="1"/>
  <c r="P20" i="2" s="1"/>
  <c r="T20" i="2" s="1"/>
  <c r="X20" i="2" s="1"/>
  <c r="AB20" i="2" s="1"/>
  <c r="AF20" i="2" s="1"/>
  <c r="AJ20" i="2" s="1"/>
  <c r="AN20" i="2" s="1"/>
  <c r="AR20" i="2" s="1"/>
  <c r="AV20" i="2" s="1"/>
  <c r="AZ20" i="2" s="1"/>
  <c r="BD20" i="2" s="1"/>
  <c r="G20" i="2"/>
  <c r="K20" i="2" s="1"/>
  <c r="O20" i="2" s="1"/>
  <c r="S20" i="2" s="1"/>
  <c r="W20" i="2" s="1"/>
  <c r="AA20" i="2" s="1"/>
  <c r="AE20" i="2" s="1"/>
  <c r="AI20" i="2" s="1"/>
  <c r="AM20" i="2" s="1"/>
  <c r="AQ20" i="2" s="1"/>
  <c r="AU20" i="2" s="1"/>
  <c r="AY20" i="2" s="1"/>
  <c r="BC20" i="2" s="1"/>
  <c r="I19" i="2"/>
  <c r="M19" i="2" s="1"/>
  <c r="Q19" i="2" s="1"/>
  <c r="U19" i="2" s="1"/>
  <c r="Y19" i="2" s="1"/>
  <c r="AC19" i="2" s="1"/>
  <c r="AG19" i="2" s="1"/>
  <c r="AK19" i="2" s="1"/>
  <c r="AO19" i="2" s="1"/>
  <c r="AS19" i="2" s="1"/>
  <c r="AW19" i="2" s="1"/>
  <c r="BA19" i="2" s="1"/>
  <c r="BE19" i="2" s="1"/>
  <c r="H19" i="2"/>
  <c r="L19" i="2" s="1"/>
  <c r="P19" i="2" s="1"/>
  <c r="T19" i="2" s="1"/>
  <c r="X19" i="2" s="1"/>
  <c r="AB19" i="2" s="1"/>
  <c r="AF19" i="2" s="1"/>
  <c r="AJ19" i="2" s="1"/>
  <c r="AN19" i="2" s="1"/>
  <c r="AR19" i="2" s="1"/>
  <c r="AV19" i="2" s="1"/>
  <c r="AZ19" i="2" s="1"/>
  <c r="BD19" i="2" s="1"/>
  <c r="G19" i="2"/>
  <c r="K19" i="2" s="1"/>
  <c r="O19" i="2" s="1"/>
  <c r="S19" i="2" s="1"/>
  <c r="W19" i="2" s="1"/>
  <c r="AA19" i="2" s="1"/>
  <c r="AE19" i="2" s="1"/>
  <c r="AI19" i="2" s="1"/>
  <c r="AM19" i="2" s="1"/>
  <c r="AQ19" i="2" s="1"/>
  <c r="AU19" i="2" s="1"/>
  <c r="AY19" i="2" s="1"/>
  <c r="BC19" i="2" s="1"/>
  <c r="I18" i="2"/>
  <c r="M18" i="2" s="1"/>
  <c r="Q18" i="2" s="1"/>
  <c r="U18" i="2" s="1"/>
  <c r="Y18" i="2" s="1"/>
  <c r="AC18" i="2" s="1"/>
  <c r="AG18" i="2" s="1"/>
  <c r="AK18" i="2" s="1"/>
  <c r="AO18" i="2" s="1"/>
  <c r="AS18" i="2" s="1"/>
  <c r="AW18" i="2" s="1"/>
  <c r="BA18" i="2" s="1"/>
  <c r="BE18" i="2" s="1"/>
  <c r="H18" i="2"/>
  <c r="L18" i="2" s="1"/>
  <c r="P18" i="2" s="1"/>
  <c r="T18" i="2" s="1"/>
  <c r="X18" i="2" s="1"/>
  <c r="AB18" i="2" s="1"/>
  <c r="AF18" i="2" s="1"/>
  <c r="AJ18" i="2" s="1"/>
  <c r="AN18" i="2" s="1"/>
  <c r="AR18" i="2" s="1"/>
  <c r="AV18" i="2" s="1"/>
  <c r="AZ18" i="2" s="1"/>
  <c r="BD18" i="2" s="1"/>
  <c r="G18" i="2"/>
  <c r="K18" i="2" s="1"/>
  <c r="O18" i="2" s="1"/>
  <c r="S18" i="2" s="1"/>
  <c r="W18" i="2" s="1"/>
  <c r="AA18" i="2" s="1"/>
  <c r="AE18" i="2" s="1"/>
  <c r="AI18" i="2" s="1"/>
  <c r="AM18" i="2" s="1"/>
  <c r="AQ18" i="2" s="1"/>
  <c r="AU18" i="2" s="1"/>
  <c r="AY18" i="2" s="1"/>
  <c r="BC18" i="2" s="1"/>
  <c r="I17" i="2"/>
  <c r="M17" i="2" s="1"/>
  <c r="Q17" i="2" s="1"/>
  <c r="U17" i="2" s="1"/>
  <c r="Y17" i="2" s="1"/>
  <c r="AC17" i="2" s="1"/>
  <c r="AG17" i="2" s="1"/>
  <c r="AK17" i="2" s="1"/>
  <c r="AO17" i="2" s="1"/>
  <c r="AS17" i="2" s="1"/>
  <c r="AW17" i="2" s="1"/>
  <c r="BA17" i="2" s="1"/>
  <c r="BE17" i="2" s="1"/>
  <c r="H17" i="2"/>
  <c r="L17" i="2" s="1"/>
  <c r="P17" i="2" s="1"/>
  <c r="T17" i="2" s="1"/>
  <c r="X17" i="2" s="1"/>
  <c r="AB17" i="2" s="1"/>
  <c r="AF17" i="2" s="1"/>
  <c r="AJ17" i="2" s="1"/>
  <c r="AN17" i="2" s="1"/>
  <c r="AR17" i="2" s="1"/>
  <c r="AV17" i="2" s="1"/>
  <c r="AZ17" i="2" s="1"/>
  <c r="BD17" i="2" s="1"/>
  <c r="G17" i="2"/>
  <c r="K17" i="2" s="1"/>
  <c r="O17" i="2" s="1"/>
  <c r="S17" i="2" s="1"/>
  <c r="W17" i="2" s="1"/>
  <c r="AA17" i="2" s="1"/>
  <c r="AE17" i="2" s="1"/>
  <c r="AI17" i="2" s="1"/>
  <c r="AM17" i="2" s="1"/>
  <c r="AQ17" i="2" s="1"/>
  <c r="AU17" i="2" s="1"/>
  <c r="AY17" i="2" s="1"/>
  <c r="BC17" i="2" s="1"/>
  <c r="BO18" i="2" l="1"/>
  <c r="BS18" i="2" s="1"/>
  <c r="BW18" i="2" s="1"/>
  <c r="BG18" i="2"/>
  <c r="BK18" i="2"/>
  <c r="BL21" i="2"/>
  <c r="BP21" i="2"/>
  <c r="BT21" i="2" s="1"/>
  <c r="BX21" i="2" s="1"/>
  <c r="BH21" i="2"/>
  <c r="BL17" i="2"/>
  <c r="BH17" i="2"/>
  <c r="BP17" i="2"/>
  <c r="BT17" i="2" s="1"/>
  <c r="BX17" i="2" s="1"/>
  <c r="BG19" i="2"/>
  <c r="BO19" i="2"/>
  <c r="BS19" i="2" s="1"/>
  <c r="BW19" i="2" s="1"/>
  <c r="BK19" i="2"/>
  <c r="BL19" i="2"/>
  <c r="BH19" i="2"/>
  <c r="BP19" i="2"/>
  <c r="BT19" i="2" s="1"/>
  <c r="BX19" i="2" s="1"/>
  <c r="BK22" i="2"/>
  <c r="BG22" i="2"/>
  <c r="BO22" i="2"/>
  <c r="BS22" i="2" s="1"/>
  <c r="BW22" i="2" s="1"/>
  <c r="BK26" i="2"/>
  <c r="BO26" i="2"/>
  <c r="BS26" i="2" s="1"/>
  <c r="BW26" i="2" s="1"/>
  <c r="BG26" i="2"/>
  <c r="BM27" i="2"/>
  <c r="BQ27" i="2"/>
  <c r="BU27" i="2" s="1"/>
  <c r="BY27" i="2" s="1"/>
  <c r="BI27" i="2"/>
  <c r="BL18" i="2"/>
  <c r="BH18" i="2"/>
  <c r="BP18" i="2"/>
  <c r="BT18" i="2" s="1"/>
  <c r="BX18" i="2" s="1"/>
  <c r="BQ17" i="2"/>
  <c r="BU17" i="2" s="1"/>
  <c r="BY17" i="2" s="1"/>
  <c r="BI17" i="2"/>
  <c r="BM17" i="2"/>
  <c r="BI18" i="2"/>
  <c r="BQ18" i="2"/>
  <c r="BU18" i="2" s="1"/>
  <c r="BY18" i="2" s="1"/>
  <c r="BM18" i="2"/>
  <c r="BO20" i="2"/>
  <c r="BS20" i="2" s="1"/>
  <c r="BW20" i="2" s="1"/>
  <c r="BG20" i="2"/>
  <c r="BK20" i="2"/>
  <c r="BH20" i="2"/>
  <c r="BL20" i="2"/>
  <c r="BP20" i="2"/>
  <c r="BT20" i="2" s="1"/>
  <c r="BX20" i="2" s="1"/>
  <c r="BK23" i="2"/>
  <c r="BO23" i="2"/>
  <c r="BS23" i="2" s="1"/>
  <c r="BW23" i="2" s="1"/>
  <c r="BG23" i="2"/>
  <c r="BM29" i="2"/>
  <c r="BQ29" i="2"/>
  <c r="BU29" i="2" s="1"/>
  <c r="BY29" i="2" s="1"/>
  <c r="BI29" i="2"/>
  <c r="BI20" i="2"/>
  <c r="BM20" i="2"/>
  <c r="BQ20" i="2"/>
  <c r="BU20" i="2" s="1"/>
  <c r="BY20" i="2" s="1"/>
  <c r="BK28" i="2"/>
  <c r="BO28" i="2"/>
  <c r="BS28" i="2" s="1"/>
  <c r="BW28" i="2" s="1"/>
  <c r="BG28" i="2"/>
  <c r="BG17" i="2"/>
  <c r="BO17" i="2"/>
  <c r="BS17" i="2" s="1"/>
  <c r="BW17" i="2" s="1"/>
  <c r="BK17" i="2"/>
  <c r="BQ19" i="2"/>
  <c r="BU19" i="2" s="1"/>
  <c r="BY19" i="2" s="1"/>
  <c r="BI19" i="2"/>
  <c r="BM19" i="2"/>
  <c r="BG21" i="2"/>
  <c r="BK21" i="2"/>
  <c r="BO21" i="2"/>
  <c r="BS21" i="2" s="1"/>
  <c r="BW21" i="2" s="1"/>
  <c r="BQ21" i="2"/>
  <c r="BU21" i="2" s="1"/>
  <c r="BY21" i="2" s="1"/>
  <c r="BI21" i="2"/>
  <c r="BM21" i="2"/>
  <c r="BM22" i="2"/>
  <c r="BI22" i="2"/>
  <c r="BQ22" i="2"/>
  <c r="BU22" i="2" s="1"/>
  <c r="BY22" i="2" s="1"/>
  <c r="BP30" i="2"/>
  <c r="BT30" i="2" s="1"/>
  <c r="BX30" i="2" s="1"/>
  <c r="BL30" i="2"/>
  <c r="BH30" i="2"/>
  <c r="BK25" i="2"/>
  <c r="BO25" i="2"/>
  <c r="BS25" i="2" s="1"/>
  <c r="BW25" i="2" s="1"/>
  <c r="BG25" i="2"/>
  <c r="BM26" i="2"/>
  <c r="BQ26" i="2"/>
  <c r="BU26" i="2" s="1"/>
  <c r="BY26" i="2" s="1"/>
  <c r="BI26" i="2"/>
  <c r="BH27" i="2"/>
  <c r="BL27" i="2"/>
  <c r="BP27" i="2"/>
  <c r="BT27" i="2" s="1"/>
  <c r="BX27" i="2" s="1"/>
  <c r="BQ28" i="2"/>
  <c r="BU28" i="2" s="1"/>
  <c r="BY28" i="2" s="1"/>
  <c r="BI28" i="2"/>
  <c r="BM28" i="2"/>
  <c r="BH29" i="2"/>
  <c r="BL29" i="2"/>
  <c r="BP29" i="2"/>
  <c r="BT29" i="2" s="1"/>
  <c r="BX29" i="2" s="1"/>
  <c r="BQ30" i="2"/>
  <c r="BU30" i="2" s="1"/>
  <c r="BY30" i="2" s="1"/>
  <c r="BI30" i="2"/>
  <c r="BM30" i="2"/>
  <c r="BP23" i="2"/>
  <c r="BT23" i="2" s="1"/>
  <c r="BX23" i="2" s="1"/>
  <c r="BH23" i="2"/>
  <c r="BP24" i="2"/>
  <c r="BT24" i="2" s="1"/>
  <c r="BX24" i="2" s="1"/>
  <c r="BL24" i="2"/>
  <c r="BH24" i="2"/>
  <c r="BK24" i="2"/>
  <c r="BG24" i="2"/>
  <c r="BO24" i="2"/>
  <c r="BS24" i="2" s="1"/>
  <c r="BW24" i="2" s="1"/>
  <c r="BM25" i="2"/>
  <c r="BQ25" i="2"/>
  <c r="BU25" i="2" s="1"/>
  <c r="BY25" i="2" s="1"/>
  <c r="BI25" i="2"/>
  <c r="BP28" i="2"/>
  <c r="BT28" i="2" s="1"/>
  <c r="BX28" i="2" s="1"/>
  <c r="BH28" i="2"/>
  <c r="BK30" i="2"/>
  <c r="BO30" i="2"/>
  <c r="BS30" i="2" s="1"/>
  <c r="BW30" i="2" s="1"/>
  <c r="BG30" i="2"/>
  <c r="BH22" i="2"/>
  <c r="BP22" i="2"/>
  <c r="BT22" i="2" s="1"/>
  <c r="BX22" i="2" s="1"/>
  <c r="BI23" i="2"/>
  <c r="BM23" i="2"/>
  <c r="BQ23" i="2"/>
  <c r="BU23" i="2" s="1"/>
  <c r="BY23" i="2" s="1"/>
  <c r="BL22" i="2"/>
  <c r="BM24" i="2"/>
  <c r="BQ24" i="2"/>
  <c r="BU24" i="2" s="1"/>
  <c r="BY24" i="2" s="1"/>
  <c r="BI24" i="2"/>
  <c r="BH25" i="2"/>
  <c r="BP25" i="2"/>
  <c r="BT25" i="2" s="1"/>
  <c r="BX25" i="2" s="1"/>
  <c r="BP26" i="2"/>
  <c r="BT26" i="2" s="1"/>
  <c r="BX26" i="2" s="1"/>
  <c r="BH26" i="2"/>
  <c r="BL26" i="2"/>
  <c r="BL28" i="2"/>
  <c r="BO29" i="2"/>
  <c r="BS29" i="2" s="1"/>
  <c r="BW29" i="2" s="1"/>
  <c r="BG29" i="2"/>
  <c r="BK29" i="2"/>
  <c r="BG27" i="2"/>
  <c r="BO27" i="2"/>
  <c r="BS27" i="2" s="1"/>
  <c r="BW27" i="2" s="1"/>
</calcChain>
</file>

<file path=xl/sharedStrings.xml><?xml version="1.0" encoding="utf-8"?>
<sst xmlns="http://schemas.openxmlformats.org/spreadsheetml/2006/main" count="603" uniqueCount="163">
  <si>
    <t>RESOLUCION Nº</t>
  </si>
  <si>
    <t>70/2023 PUBLICADA EN EL BOLETIN OFICIAL EL 20/12/2023</t>
  </si>
  <si>
    <t>VIGENCIA</t>
  </si>
  <si>
    <t>IVA</t>
  </si>
  <si>
    <t>CANAL</t>
  </si>
  <si>
    <t>NUBIAL</t>
  </si>
  <si>
    <t>OSPADEP SALUD</t>
  </si>
  <si>
    <t>AUMENTO: 2,9%</t>
  </si>
  <si>
    <t>MODO INGRESO</t>
  </si>
  <si>
    <t>LISTA 3GW3   2019</t>
  </si>
  <si>
    <t>OSPADEP</t>
  </si>
  <si>
    <t>OBLIGATORIO</t>
  </si>
  <si>
    <t>DIST SUP OBLIGATORIO</t>
  </si>
  <si>
    <t>PLANES</t>
  </si>
  <si>
    <t>OS 25</t>
  </si>
  <si>
    <t>30% de descuentos los primero 6 meses para todos los rangos</t>
  </si>
  <si>
    <t>OS 300</t>
  </si>
  <si>
    <t>15% de descuento los segundos 6 meses para todos los rangos</t>
  </si>
  <si>
    <t>DIST. SUP. LISTA 3GW7 2019</t>
  </si>
  <si>
    <t>OS 900</t>
  </si>
  <si>
    <t>25% de descuento para Franja Etaria 1 y 2 hasta pasar a Franja 3</t>
  </si>
  <si>
    <t>NO SE COBRA EL 10% DE ANSSAL. PARA COTIZAR SE HACE PRECIO MENOS APORTES</t>
  </si>
  <si>
    <t>MS</t>
  </si>
  <si>
    <t>Con Obra Social / Desregulado / Obligatorio (SIN IVA)</t>
  </si>
  <si>
    <t>Sin Obra Social / Directo / Voluntario (CON IVA)</t>
  </si>
  <si>
    <t>FRANJA 1 (18-27 AÑOS)</t>
  </si>
  <si>
    <t>FRANJA 2 (28-35 AÑOS)</t>
  </si>
  <si>
    <t>FRANJA 3 (36-40 AÑOS)</t>
  </si>
  <si>
    <t>FRANJA 4 (41-45 AÑOS)</t>
  </si>
  <si>
    <t>FRANJA 5 (46-50 AÑOS)</t>
  </si>
  <si>
    <t>FRANJA 6 (51-55 AÑOS)</t>
  </si>
  <si>
    <t>FRANJA 7 (56-64 AÑOS)</t>
  </si>
  <si>
    <t>FRANJA 8 (&gt;=65 AÑOS)</t>
  </si>
  <si>
    <t>HIJO/A (Cada Hijo)</t>
  </si>
  <si>
    <t>GALENO</t>
  </si>
  <si>
    <t>Solo Capital Federal y Gba</t>
  </si>
  <si>
    <t>PD SUPERADOR</t>
  </si>
  <si>
    <t>DIST.SUP. LISTA 3GW3 2019</t>
  </si>
  <si>
    <t>LISTA 3GW7   2019</t>
  </si>
  <si>
    <t>OSDAAP</t>
  </si>
  <si>
    <t xml:space="preserve">    DIST SUP PD SUPERADOR</t>
  </si>
  <si>
    <t>PLAN</t>
  </si>
  <si>
    <t>PD</t>
  </si>
  <si>
    <t>Menor de 65 Años</t>
  </si>
  <si>
    <t>Mayor de 64 Años</t>
  </si>
  <si>
    <t>VISITAR</t>
  </si>
  <si>
    <t>OSPADEP Y OSDAAP</t>
  </si>
  <si>
    <t>VISITAR SUPERADOR</t>
  </si>
  <si>
    <t xml:space="preserve">    DISTRACTO SUP VISITAR</t>
  </si>
  <si>
    <t>CLASICO</t>
  </si>
  <si>
    <t>VALOR</t>
  </si>
  <si>
    <t>OSPADEP / OSDAAP</t>
  </si>
  <si>
    <t>SWISS MEDICAL</t>
  </si>
  <si>
    <t>OMINT</t>
  </si>
  <si>
    <t>MODO DE INGRESO</t>
  </si>
  <si>
    <t>LISTA 0SW1 2019</t>
  </si>
  <si>
    <t>FACTURABLE</t>
  </si>
  <si>
    <t>DIST.SUP.OMINT</t>
  </si>
  <si>
    <t>PO62</t>
  </si>
  <si>
    <t>PLAN 2500</t>
  </si>
  <si>
    <t>PO64</t>
  </si>
  <si>
    <t>PLAN 4500</t>
  </si>
  <si>
    <t>SB04</t>
  </si>
  <si>
    <t>PLAN 6500</t>
  </si>
  <si>
    <t>PLAN 8500</t>
  </si>
  <si>
    <t>PLAN COMUNIDAD SC</t>
  </si>
  <si>
    <t>SOLO PARA CABA</t>
  </si>
  <si>
    <t>SBO4</t>
  </si>
  <si>
    <t>0-25 Años</t>
  </si>
  <si>
    <t>26-35 Años</t>
  </si>
  <si>
    <t>36-54 Años</t>
  </si>
  <si>
    <t>55-59 Años</t>
  </si>
  <si>
    <t>60 o +</t>
  </si>
  <si>
    <t>Adulto/Cony/Fam a carg/Hijo mayor 25</t>
  </si>
  <si>
    <t>Hijo 1 menor a 25 años</t>
  </si>
  <si>
    <t>Hijo 2 menor o + hijos</t>
  </si>
  <si>
    <t>SOLO OSPADEP</t>
  </si>
  <si>
    <t>PLAN COMUNIDAD SIN COPAGO</t>
  </si>
  <si>
    <t>PLAN COMUNIDA SC SOLO PARA CABA</t>
  </si>
  <si>
    <t>ENVIAR FACTURA Y DETALLE SIN ANSSAL DETALLANDO VALOR DE CADA CAPITA $ 191092 POR CAPITA 11/2025. IR SUBIENDO PARA QUE QUEDE COMO EL SISTEMA. 
POR MAIL A arianapasquini7@gmail.com</t>
  </si>
  <si>
    <t>RESOLUCIÓN Nº</t>
  </si>
  <si>
    <t>572/2016 PUBLICADA EN EL BOLETIN OFICIAL EL 11/05/2016</t>
  </si>
  <si>
    <t>1287/2016 PUBLICADA EN EL BOLETIN OFICIAL EL 31/08/2016</t>
  </si>
  <si>
    <t>2371-E2016 PUBLICADA EN EL BOLETIN OFICIAL EL 28/12/2016</t>
  </si>
  <si>
    <t>613-E/2017 PUBLICADA EN EL BOLETIN OFICIAL EL 23/05/2017</t>
  </si>
  <si>
    <t>1050-E/2017 PUBLICADA EN EL BOLETIN OFICIAL EL 31/07/2017</t>
  </si>
  <si>
    <t>1975-E/2017 PUBLICADA EN EL BOLETIN OFICIAL EL 31/10/2017</t>
  </si>
  <si>
    <t>2479-E/2017 PUBLICADA EN EL BOLETIN OFICIAL EL 28/12/2017</t>
  </si>
  <si>
    <t>798/2018 PUBLICADA EN EL BOLETIN OFICIAL EL 25/04/2018</t>
  </si>
  <si>
    <t>1239/2018 PUBLICADA EN EL BOLETIN OFICIAL EL 28/06/2018</t>
  </si>
  <si>
    <t>1780/2018 PUBLICADA EN EL BOLETIN OFICIAL EL 30/08/2018</t>
  </si>
  <si>
    <t>262/2018 PUBLICADA EN EL BOLETIN OFICIAL EL 31/10/2018</t>
  </si>
  <si>
    <t>933/2018 PUBLICADA EN EL BOLETIN OFICIAL EL 28/12/2018</t>
  </si>
  <si>
    <t>592/2019 PUBLICADA EN EL BOLETIN OFICIAL EL 27/03/2019</t>
  </si>
  <si>
    <t>872/2019 PUBLICADA EN EL BOLETIN OFICIAL EL 24/05/2019</t>
  </si>
  <si>
    <t>1701/2019 PUBLICADA EN EL BOLETIN OFICIAL EL 29/08/2019</t>
  </si>
  <si>
    <t>MEDIFE</t>
  </si>
  <si>
    <t>AUMENTO: 3,9%</t>
  </si>
  <si>
    <t>MODO</t>
  </si>
  <si>
    <t>GENUINOS MEDIFE</t>
  </si>
  <si>
    <t>OPCION MEDIFE 2025</t>
  </si>
  <si>
    <t>OPCION MEDIFE</t>
  </si>
  <si>
    <t>DIST.SUP. MEDIFE 2025</t>
  </si>
  <si>
    <t>BRONCE</t>
  </si>
  <si>
    <t>PLATA</t>
  </si>
  <si>
    <t>ORO</t>
  </si>
  <si>
    <t>SE FACTURA MATRIMONIO DE MAYOR RANGO ETARIO, SI TIT Y CONY TIENEN DIFERENTE RANGO ETARIO</t>
  </si>
  <si>
    <t xml:space="preserve">INDIV(0 a 29) </t>
  </si>
  <si>
    <t xml:space="preserve">MATRIMONIO (0 a 29) </t>
  </si>
  <si>
    <t xml:space="preserve">INDIV (30 a 39) </t>
  </si>
  <si>
    <t xml:space="preserve">MATRIMONIO(30 a 39) </t>
  </si>
  <si>
    <t xml:space="preserve">INDIV (40 a 49) </t>
  </si>
  <si>
    <t xml:space="preserve">MATRIMONIO (40 a 49) </t>
  </si>
  <si>
    <t>INDIV (50 a 59)</t>
  </si>
  <si>
    <t>MATRIMONIO (50 a 59)</t>
  </si>
  <si>
    <t>INDIV (60 en +)</t>
  </si>
  <si>
    <t>MATRIMONIO (60 en +)</t>
  </si>
  <si>
    <t>1er H ( &lt; a 21)</t>
  </si>
  <si>
    <t>2do H (&lt; a 21)</t>
  </si>
  <si>
    <t xml:space="preserve">H AD (21 a 29) </t>
  </si>
  <si>
    <t>FAMILIAR A CARGO</t>
  </si>
  <si>
    <t>las coberturas son:</t>
  </si>
  <si>
    <t>blanco : bronce</t>
  </si>
  <si>
    <t>verde: plata</t>
  </si>
  <si>
    <t>azul: oro</t>
  </si>
  <si>
    <t>ACTIVA SALUD</t>
  </si>
  <si>
    <t>OPCION ACTIVA SUPERADOR</t>
  </si>
  <si>
    <t>OPCION ACTIVA SUP 2025</t>
  </si>
  <si>
    <t>ACTIVA GENUINO SUPERADOR 2025</t>
  </si>
  <si>
    <t>DIST SUP ACTIVA SALUD 2025</t>
  </si>
  <si>
    <t>AS300</t>
  </si>
  <si>
    <t>AS 25</t>
  </si>
  <si>
    <t>AS700</t>
  </si>
  <si>
    <t>AS800</t>
  </si>
  <si>
    <t>AS 900</t>
  </si>
  <si>
    <t>AS 300</t>
  </si>
  <si>
    <t>AS 300 &gt; 65</t>
  </si>
  <si>
    <t>AS 700</t>
  </si>
  <si>
    <t>AS 800</t>
  </si>
  <si>
    <t>LISTA 0SW1 - 2025</t>
  </si>
  <si>
    <t>DIST.SUP. LISTA 0SW1 - 2025</t>
  </si>
  <si>
    <t>LISTA 0WW7 - 2025</t>
  </si>
  <si>
    <t>DIST.SUP. LISTA 0WW7 - 2025</t>
  </si>
  <si>
    <t>Por Cápita menor a 66 años</t>
  </si>
  <si>
    <t>MAYOR DE 65 AÑOS</t>
  </si>
  <si>
    <t>ADHERENTE LISTA 0WV5 2019</t>
  </si>
  <si>
    <t>LISTA 0WV5 - 2025</t>
  </si>
  <si>
    <t>LISTA 0WV5  2019</t>
  </si>
  <si>
    <t>DIST. SUP. LISTA 0WV5 - 2025</t>
  </si>
  <si>
    <t>DIST. SUP. LISTA 0WV5 2019</t>
  </si>
  <si>
    <t>GENUINO LISTA 0WW7 2019</t>
  </si>
  <si>
    <t>DIST. SUP. LISTA 0WW7 - 2025</t>
  </si>
  <si>
    <t>DIST. SUP. LISTA 0WW7 2019</t>
  </si>
  <si>
    <t>SB02</t>
  </si>
  <si>
    <t>Por Cápita</t>
  </si>
  <si>
    <t>Mayor de 65 Años</t>
  </si>
  <si>
    <t>OSADEP</t>
  </si>
  <si>
    <t>LISTA 0SD3 2019</t>
  </si>
  <si>
    <t>DIST. SUP. LISTA 0SW1 - 2025</t>
  </si>
  <si>
    <t>LISTA 0SD3 - 2025</t>
  </si>
  <si>
    <t>DIST. SUP. LISTA 0SD3 - 2025</t>
  </si>
  <si>
    <t>CAPITA MENOR O IGUAL A 65 AÑOS</t>
  </si>
  <si>
    <t>CAPITA MAYOR A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</si>
</sst>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\ * #,##0.00_-;\-&quot;$&quot;\ * #,##0.00_-;_-&quot;$&quot;\ * &quot;-&quot;??_-;_-@_-"/>
    <numFmt numFmtId="165" formatCode="_ &quot;$&quot;\ * #,##0_ ;_ &quot;$&quot;\ * \-#,##0_ ;_ &quot;$&quot;\ * &quot;-&quot;??_ ;_ @_ "/>
    <numFmt numFmtId="166" formatCode="_-&quot;$&quot;\ * #,##0_-;\-&quot;$&quot;\ * #,##0_-;_-&quot;$&quot;\ * &quot;-&quot;??_-;_-@_-"/>
    <numFmt numFmtId="167" formatCode="0.0%"/>
    <numFmt numFmtId="168" formatCode="&quot;$&quot;\ #,##0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4"/>
      <name val="Arial"/>
      <family val="2"/>
    </font>
    <font>
      <sz val="12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22"/>
      <name val="Arial"/>
      <family val="2"/>
    </font>
    <font>
      <b/>
      <sz val="11"/>
      <color indexed="8"/>
      <name val="Arial"/>
      <family val="2"/>
    </font>
    <font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rgb="FFFF0000"/>
      <name val="Arial"/>
      <family val="2"/>
    </font>
    <font>
      <sz val="18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b/>
      <sz val="15"/>
      <name val="Arial"/>
      <family val="2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name val="Arial"/>
      <family val="2"/>
    </font>
    <font>
      <b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5">
    <xf numFmtId="0" fontId="0" fillId="0" borderId="0" xfId="0"/>
    <xf numFmtId="14" fontId="3" fillId="0" borderId="1" xfId="0" applyNumberFormat="1" applyFont="1" applyBorder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/>
    <xf numFmtId="0" fontId="3" fillId="0" borderId="1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0" fillId="0" borderId="3" xfId="0" applyBorder="1"/>
    <xf numFmtId="0" fontId="3" fillId="0" borderId="4" xfId="0" applyFont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3" fillId="0" borderId="1" xfId="0" applyFont="1" applyBorder="1" applyAlignment="1">
      <alignment horizontal="left" vertical="center" indent="1"/>
    </xf>
    <xf numFmtId="0" fontId="13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 indent="1"/>
    </xf>
    <xf numFmtId="0" fontId="13" fillId="0" borderId="4" xfId="0" applyFont="1" applyBorder="1" applyAlignment="1">
      <alignment horizontal="lef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3" fillId="0" borderId="6" xfId="0" applyFont="1" applyBorder="1" applyAlignment="1">
      <alignment horizontal="left" vertical="center" indent="1"/>
    </xf>
    <xf numFmtId="0" fontId="13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 indent="1"/>
    </xf>
    <xf numFmtId="0" fontId="0" fillId="0" borderId="7" xfId="0" applyBorder="1"/>
    <xf numFmtId="0" fontId="13" fillId="0" borderId="8" xfId="0" applyFont="1" applyBorder="1" applyAlignment="1">
      <alignment horizontal="left" vertical="center"/>
    </xf>
    <xf numFmtId="0" fontId="14" fillId="0" borderId="0" xfId="0" applyFont="1"/>
    <xf numFmtId="0" fontId="13" fillId="0" borderId="10" xfId="0" applyFont="1" applyBorder="1" applyAlignment="1">
      <alignment horizontal="left" vertical="center" indent="1"/>
    </xf>
    <xf numFmtId="0" fontId="0" fillId="0" borderId="10" xfId="0" applyBorder="1"/>
    <xf numFmtId="0" fontId="14" fillId="0" borderId="1" xfId="0" applyFont="1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0" fillId="0" borderId="1" xfId="0" applyBorder="1"/>
    <xf numFmtId="165" fontId="0" fillId="0" borderId="13" xfId="1" applyNumberFormat="1" applyFont="1" applyBorder="1"/>
    <xf numFmtId="165" fontId="0" fillId="0" borderId="6" xfId="1" applyNumberFormat="1" applyFont="1" applyBorder="1"/>
    <xf numFmtId="166" fontId="0" fillId="0" borderId="14" xfId="1" applyNumberFormat="1" applyFont="1" applyBorder="1"/>
    <xf numFmtId="165" fontId="0" fillId="0" borderId="0" xfId="1" applyNumberFormat="1" applyFont="1" applyBorder="1"/>
    <xf numFmtId="0" fontId="0" fillId="0" borderId="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 indent="1"/>
    </xf>
    <xf numFmtId="14" fontId="3" fillId="0" borderId="3" xfId="0" applyNumberFormat="1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6" fillId="2" borderId="14" xfId="0" applyNumberFormat="1" applyFont="1" applyFill="1" applyBorder="1" applyAlignment="1">
      <alignment horizontal="center"/>
    </xf>
    <xf numFmtId="1" fontId="4" fillId="3" borderId="14" xfId="0" applyNumberFormat="1" applyFont="1" applyFill="1" applyBorder="1" applyAlignment="1">
      <alignment horizontal="center"/>
    </xf>
    <xf numFmtId="1" fontId="4" fillId="4" borderId="14" xfId="0" applyNumberFormat="1" applyFont="1" applyFill="1" applyBorder="1" applyAlignment="1">
      <alignment horizontal="center"/>
    </xf>
    <xf numFmtId="1" fontId="16" fillId="2" borderId="18" xfId="0" applyNumberFormat="1" applyFont="1" applyFill="1" applyBorder="1" applyAlignment="1">
      <alignment horizontal="center"/>
    </xf>
    <xf numFmtId="1" fontId="4" fillId="3" borderId="18" xfId="0" applyNumberFormat="1" applyFont="1" applyFill="1" applyBorder="1" applyAlignment="1">
      <alignment horizontal="center"/>
    </xf>
    <xf numFmtId="1" fontId="4" fillId="4" borderId="18" xfId="0" applyNumberFormat="1" applyFont="1" applyFill="1" applyBorder="1" applyAlignment="1">
      <alignment horizontal="center"/>
    </xf>
    <xf numFmtId="1" fontId="3" fillId="0" borderId="14" xfId="0" applyNumberFormat="1" applyFont="1" applyBorder="1" applyAlignment="1">
      <alignment horizontal="left"/>
    </xf>
    <xf numFmtId="165" fontId="0" fillId="0" borderId="14" xfId="1" applyNumberFormat="1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13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/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/>
    <xf numFmtId="14" fontId="17" fillId="0" borderId="3" xfId="0" applyNumberFormat="1" applyFont="1" applyBorder="1" applyAlignment="1">
      <alignment horizontal="center" vertical="center"/>
    </xf>
    <xf numFmtId="164" fontId="10" fillId="0" borderId="0" xfId="1" applyFont="1" applyAlignment="1">
      <alignment vertical="center"/>
    </xf>
    <xf numFmtId="167" fontId="2" fillId="0" borderId="0" xfId="0" applyNumberFormat="1" applyFont="1"/>
    <xf numFmtId="14" fontId="7" fillId="0" borderId="0" xfId="0" applyNumberFormat="1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65" fontId="10" fillId="0" borderId="1" xfId="1" applyNumberFormat="1" applyFont="1" applyBorder="1"/>
    <xf numFmtId="165" fontId="0" fillId="0" borderId="0" xfId="1" applyNumberFormat="1" applyFont="1"/>
    <xf numFmtId="165" fontId="0" fillId="0" borderId="0" xfId="0" applyNumberFormat="1"/>
    <xf numFmtId="165" fontId="10" fillId="0" borderId="14" xfId="1" applyNumberFormat="1" applyFont="1" applyBorder="1"/>
    <xf numFmtId="165" fontId="10" fillId="0" borderId="19" xfId="1" applyNumberFormat="1" applyFont="1" applyBorder="1"/>
    <xf numFmtId="0" fontId="20" fillId="0" borderId="1" xfId="0" applyFont="1" applyBorder="1"/>
    <xf numFmtId="0" fontId="21" fillId="0" borderId="3" xfId="0" applyFont="1" applyBorder="1" applyAlignment="1">
      <alignment horizontal="center" vertical="center"/>
    </xf>
    <xf numFmtId="0" fontId="21" fillId="0" borderId="3" xfId="0" applyFont="1" applyBorder="1"/>
    <xf numFmtId="14" fontId="4" fillId="0" borderId="0" xfId="0" applyNumberFormat="1" applyFont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19" fillId="0" borderId="0" xfId="0" applyFont="1"/>
    <xf numFmtId="0" fontId="18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left" vertical="center" indent="1"/>
    </xf>
    <xf numFmtId="0" fontId="10" fillId="0" borderId="15" xfId="0" applyFont="1" applyBorder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22" fillId="0" borderId="21" xfId="0" applyFont="1" applyBorder="1"/>
    <xf numFmtId="168" fontId="22" fillId="0" borderId="22" xfId="1" applyNumberFormat="1" applyFont="1" applyBorder="1" applyAlignment="1">
      <alignment horizontal="center" vertical="center"/>
    </xf>
    <xf numFmtId="168" fontId="22" fillId="0" borderId="21" xfId="1" applyNumberFormat="1" applyFont="1" applyBorder="1" applyAlignment="1">
      <alignment horizontal="center" vertical="center"/>
    </xf>
    <xf numFmtId="168" fontId="0" fillId="0" borderId="0" xfId="0" applyNumberFormat="1"/>
    <xf numFmtId="14" fontId="23" fillId="0" borderId="14" xfId="0" applyNumberFormat="1" applyFont="1" applyBorder="1" applyAlignment="1">
      <alignment horizontal="left" vertical="center"/>
    </xf>
    <xf numFmtId="168" fontId="24" fillId="0" borderId="23" xfId="1" applyNumberFormat="1" applyFont="1" applyBorder="1" applyAlignment="1">
      <alignment horizontal="center" vertical="center"/>
    </xf>
    <xf numFmtId="168" fontId="24" fillId="0" borderId="24" xfId="1" applyNumberFormat="1" applyFont="1" applyBorder="1" applyAlignment="1">
      <alignment horizontal="center" vertical="center"/>
    </xf>
    <xf numFmtId="165" fontId="10" fillId="0" borderId="0" xfId="1" applyNumberFormat="1" applyFont="1" applyAlignment="1"/>
    <xf numFmtId="0" fontId="0" fillId="0" borderId="3" xfId="0" applyBorder="1" applyAlignment="1">
      <alignment vertical="center"/>
    </xf>
    <xf numFmtId="0" fontId="10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25" fillId="0" borderId="12" xfId="0" applyFont="1" applyBorder="1" applyAlignment="1">
      <alignment horizontal="left" vertical="center" indent="1"/>
    </xf>
    <xf numFmtId="0" fontId="25" fillId="0" borderId="5" xfId="0" applyFont="1" applyBorder="1" applyAlignment="1">
      <alignment horizontal="left" vertical="center" indent="1"/>
    </xf>
    <xf numFmtId="0" fontId="25" fillId="0" borderId="15" xfId="0" applyFont="1" applyBorder="1" applyAlignment="1">
      <alignment horizontal="left" vertical="center" indent="1"/>
    </xf>
    <xf numFmtId="0" fontId="4" fillId="0" borderId="6" xfId="0" applyFont="1" applyBorder="1" applyAlignment="1">
      <alignment horizontal="center" vertical="center"/>
    </xf>
    <xf numFmtId="0" fontId="24" fillId="0" borderId="24" xfId="0" applyFont="1" applyBorder="1"/>
    <xf numFmtId="165" fontId="15" fillId="0" borderId="0" xfId="1" applyNumberFormat="1" applyFont="1" applyAlignment="1"/>
    <xf numFmtId="0" fontId="25" fillId="0" borderId="0" xfId="0" applyFont="1" applyAlignment="1">
      <alignment horizontal="left" vertical="center" indent="1"/>
    </xf>
    <xf numFmtId="0" fontId="25" fillId="0" borderId="1" xfId="0" applyFont="1" applyBorder="1" applyAlignment="1">
      <alignment horizontal="left" vertical="center" indent="1"/>
    </xf>
    <xf numFmtId="14" fontId="13" fillId="0" borderId="0" xfId="0" applyNumberFormat="1" applyFont="1"/>
    <xf numFmtId="14" fontId="13" fillId="0" borderId="0" xfId="0" applyNumberFormat="1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165" fontId="0" fillId="0" borderId="25" xfId="1" applyNumberFormat="1" applyFont="1" applyBorder="1"/>
    <xf numFmtId="165" fontId="0" fillId="0" borderId="21" xfId="1" applyNumberFormat="1" applyFont="1" applyBorder="1"/>
    <xf numFmtId="165" fontId="0" fillId="0" borderId="26" xfId="1" applyNumberFormat="1" applyFont="1" applyBorder="1"/>
    <xf numFmtId="165" fontId="0" fillId="0" borderId="1" xfId="1" applyNumberFormat="1" applyFont="1" applyBorder="1"/>
    <xf numFmtId="0" fontId="3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14" fontId="27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166" fontId="0" fillId="0" borderId="0" xfId="1" applyNumberFormat="1" applyFont="1"/>
    <xf numFmtId="166" fontId="0" fillId="0" borderId="0" xfId="1" applyNumberFormat="1" applyFont="1" applyAlignment="1">
      <alignment vertical="center"/>
    </xf>
    <xf numFmtId="165" fontId="20" fillId="0" borderId="8" xfId="1" applyNumberFormat="1" applyFont="1" applyFill="1" applyBorder="1"/>
    <xf numFmtId="0" fontId="28" fillId="0" borderId="0" xfId="0" applyFont="1" applyAlignment="1">
      <alignment horizontal="left" vertical="center" indent="1"/>
    </xf>
    <xf numFmtId="0" fontId="29" fillId="0" borderId="0" xfId="0" applyFont="1" applyAlignment="1">
      <alignment horizontal="left" vertical="center" indent="1"/>
    </xf>
    <xf numFmtId="14" fontId="23" fillId="0" borderId="0" xfId="0" applyNumberFormat="1" applyFont="1" applyAlignment="1">
      <alignment horizontal="left" vertical="center"/>
    </xf>
    <xf numFmtId="168" fontId="24" fillId="0" borderId="0" xfId="1" applyNumberFormat="1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left" vertical="center"/>
    </xf>
    <xf numFmtId="168" fontId="22" fillId="0" borderId="4" xfId="1" applyNumberFormat="1" applyFont="1" applyBorder="1" applyAlignment="1">
      <alignment horizontal="center" vertical="center"/>
    </xf>
    <xf numFmtId="0" fontId="30" fillId="0" borderId="1" xfId="0" applyFont="1" applyBorder="1"/>
    <xf numFmtId="168" fontId="30" fillId="0" borderId="1" xfId="1" applyNumberFormat="1" applyFont="1" applyBorder="1" applyAlignment="1">
      <alignment horizontal="center" vertical="center"/>
    </xf>
    <xf numFmtId="0" fontId="30" fillId="0" borderId="6" xfId="0" applyFont="1" applyBorder="1"/>
    <xf numFmtId="168" fontId="22" fillId="0" borderId="8" xfId="1" applyNumberFormat="1" applyFont="1" applyBorder="1" applyAlignment="1">
      <alignment horizontal="center" vertical="center"/>
    </xf>
    <xf numFmtId="168" fontId="30" fillId="0" borderId="6" xfId="1" applyNumberFormat="1" applyFont="1" applyBorder="1" applyAlignment="1">
      <alignment horizontal="center" vertical="center"/>
    </xf>
    <xf numFmtId="0" fontId="0" fillId="0" borderId="27" xfId="0" applyBorder="1"/>
    <xf numFmtId="168" fontId="31" fillId="0" borderId="28" xfId="1" applyNumberFormat="1" applyFont="1" applyBorder="1" applyAlignment="1">
      <alignment horizontal="center" vertical="center"/>
    </xf>
    <xf numFmtId="168" fontId="24" fillId="0" borderId="29" xfId="1" applyNumberFormat="1" applyFont="1" applyBorder="1" applyAlignment="1">
      <alignment horizontal="center" vertical="center"/>
    </xf>
    <xf numFmtId="14" fontId="23" fillId="0" borderId="1" xfId="0" applyNumberFormat="1" applyFont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166" fontId="0" fillId="0" borderId="0" xfId="0" applyNumberFormat="1"/>
    <xf numFmtId="0" fontId="32" fillId="0" borderId="0" xfId="0" applyFont="1" applyAlignment="1">
      <alignment horizontal="left" vertical="center" indent="1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5" xfId="0" applyFont="1" applyBorder="1" applyAlignment="1">
      <alignment horizontal="left" vertical="center" indent="1"/>
    </xf>
    <xf numFmtId="0" fontId="0" fillId="0" borderId="17" xfId="0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168" fontId="5" fillId="0" borderId="4" xfId="1" applyNumberFormat="1" applyFont="1" applyBorder="1" applyAlignment="1">
      <alignment horizontal="center" vertical="center"/>
    </xf>
    <xf numFmtId="0" fontId="0" fillId="5" borderId="30" xfId="0" applyFill="1" applyBorder="1" applyAlignment="1">
      <alignment horizontal="center" vertical="center" wrapText="1"/>
    </xf>
    <xf numFmtId="0" fontId="0" fillId="6" borderId="30" xfId="0" applyFill="1" applyBorder="1" applyAlignment="1">
      <alignment horizontal="center" vertical="center" wrapText="1"/>
    </xf>
    <xf numFmtId="166" fontId="5" fillId="6" borderId="14" xfId="1" applyNumberFormat="1" applyFont="1" applyFill="1" applyBorder="1"/>
    <xf numFmtId="14" fontId="33" fillId="0" borderId="6" xfId="0" applyNumberFormat="1" applyFont="1" applyBorder="1" applyAlignment="1">
      <alignment horizontal="center" vertical="center"/>
    </xf>
    <xf numFmtId="9" fontId="2" fillId="0" borderId="0" xfId="0" applyNumberFormat="1" applyFont="1"/>
    <xf numFmtId="0" fontId="7" fillId="0" borderId="0" xfId="0" applyFont="1" applyAlignment="1">
      <alignment wrapText="1"/>
    </xf>
    <xf numFmtId="0" fontId="14" fillId="0" borderId="2" xfId="0" applyFont="1" applyBorder="1"/>
    <xf numFmtId="0" fontId="2" fillId="0" borderId="1" xfId="0" applyFont="1" applyBorder="1" applyAlignment="1">
      <alignment horizontal="center"/>
    </xf>
    <xf numFmtId="166" fontId="10" fillId="0" borderId="14" xfId="1" applyNumberFormat="1" applyFont="1" applyBorder="1"/>
    <xf numFmtId="166" fontId="2" fillId="0" borderId="14" xfId="1" applyNumberFormat="1" applyFont="1" applyBorder="1"/>
    <xf numFmtId="0" fontId="20" fillId="0" borderId="2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65" fontId="15" fillId="0" borderId="0" xfId="1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14" fontId="11" fillId="0" borderId="2" xfId="0" applyNumberFormat="1" applyFont="1" applyBorder="1" applyAlignment="1">
      <alignment horizontal="center"/>
    </xf>
    <xf numFmtId="14" fontId="11" fillId="0" borderId="3" xfId="0" applyNumberFormat="1" applyFont="1" applyBorder="1" applyAlignment="1">
      <alignment horizontal="center"/>
    </xf>
    <xf numFmtId="14" fontId="11" fillId="0" borderId="4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5" fontId="15" fillId="0" borderId="5" xfId="1" applyNumberFormat="1" applyFont="1" applyBorder="1" applyAlignment="1">
      <alignment horizontal="center"/>
    </xf>
    <xf numFmtId="165" fontId="15" fillId="0" borderId="0" xfId="1" applyNumberFormat="1" applyFont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opLeftCell="B25" workbookViewId="0">
      <selection activeCell="F30" sqref="F30"/>
    </sheetView>
  </sheetViews>
  <sheetFormatPr defaultColWidth="11.42578125" defaultRowHeight="15"/>
  <cols>
    <col min="1" max="1" width="22.42578125" customWidth="1"/>
    <col min="2" max="2" width="23.85546875" customWidth="1"/>
    <col min="3" max="3" width="36.140625" hidden="1" customWidth="1"/>
    <col min="4" max="5" width="0" hidden="1" customWidth="1"/>
    <col min="6" max="6" width="27.5703125" customWidth="1"/>
    <col min="7" max="7" width="15.140625" customWidth="1"/>
    <col min="8" max="8" width="17.85546875" customWidth="1"/>
    <col min="9" max="9" width="24" bestFit="1" customWidth="1"/>
    <col min="10" max="10" width="20.7109375" customWidth="1"/>
    <col min="11" max="11" width="18.42578125" customWidth="1"/>
    <col min="12" max="12" width="13" bestFit="1" customWidth="1"/>
  </cols>
  <sheetData>
    <row r="1" spans="2:11" ht="15.75" thickBot="1"/>
    <row r="2" spans="2:11" ht="16.5" thickBot="1">
      <c r="B2" s="1" t="s">
        <v>0</v>
      </c>
      <c r="C2" s="2"/>
      <c r="F2" s="166" t="s">
        <v>1</v>
      </c>
      <c r="G2" s="167"/>
      <c r="H2" s="167"/>
      <c r="I2" s="168"/>
    </row>
    <row r="3" spans="2:11" ht="18.75" thickBot="1">
      <c r="B3" s="83"/>
      <c r="C3" s="4"/>
      <c r="F3" s="169"/>
      <c r="G3" s="169"/>
      <c r="H3" s="169"/>
      <c r="I3" s="169"/>
    </row>
    <row r="4" spans="2:11" ht="18.75" thickBot="1">
      <c r="B4" s="84" t="s">
        <v>2</v>
      </c>
      <c r="C4" s="47">
        <v>43709</v>
      </c>
      <c r="D4" s="12"/>
      <c r="E4" s="12"/>
      <c r="F4" s="48">
        <v>46082</v>
      </c>
      <c r="G4" s="85"/>
      <c r="H4" s="43"/>
      <c r="I4" s="70"/>
    </row>
    <row r="5" spans="2:11" ht="19.5" thickBot="1">
      <c r="B5" s="83"/>
      <c r="C5" s="86"/>
      <c r="F5" s="86"/>
      <c r="G5" s="170"/>
      <c r="H5" s="170"/>
      <c r="I5" s="170"/>
      <c r="J5" s="160" t="s">
        <v>3</v>
      </c>
    </row>
    <row r="6" spans="2:11" ht="19.5" thickBot="1">
      <c r="B6" s="84" t="s">
        <v>4</v>
      </c>
      <c r="C6" s="87" t="s">
        <v>5</v>
      </c>
      <c r="F6" s="91" t="s">
        <v>6</v>
      </c>
      <c r="G6" s="171" t="s">
        <v>7</v>
      </c>
      <c r="H6" s="172"/>
      <c r="I6" s="9"/>
      <c r="J6" s="160">
        <f>110.5/100</f>
        <v>1.105</v>
      </c>
    </row>
    <row r="7" spans="2:11" ht="19.5" thickBot="1">
      <c r="B7" s="84" t="s">
        <v>8</v>
      </c>
      <c r="C7" s="88" t="s">
        <v>9</v>
      </c>
      <c r="D7" s="143" t="s">
        <v>10</v>
      </c>
      <c r="F7" s="147" t="s">
        <v>11</v>
      </c>
    </row>
    <row r="8" spans="2:11" ht="19.5" thickBot="1">
      <c r="B8" s="84"/>
      <c r="C8" s="148"/>
      <c r="D8" s="149"/>
      <c r="F8" s="147" t="s">
        <v>12</v>
      </c>
    </row>
    <row r="9" spans="2:11" ht="20.25" customHeight="1" thickBot="1">
      <c r="B9" s="84" t="s">
        <v>13</v>
      </c>
      <c r="C9" s="148"/>
      <c r="D9" s="149"/>
      <c r="F9" s="150" t="s">
        <v>14</v>
      </c>
      <c r="H9" s="163" t="s">
        <v>15</v>
      </c>
      <c r="I9" s="164"/>
      <c r="J9" s="164"/>
      <c r="K9" s="165"/>
    </row>
    <row r="10" spans="2:11" ht="20.25" thickBot="1">
      <c r="B10" s="83"/>
      <c r="C10" s="148"/>
      <c r="D10" s="149"/>
      <c r="F10" s="150" t="s">
        <v>16</v>
      </c>
      <c r="G10" s="151"/>
      <c r="H10" s="163" t="s">
        <v>17</v>
      </c>
      <c r="I10" s="164"/>
      <c r="J10" s="164"/>
      <c r="K10" s="165"/>
    </row>
    <row r="11" spans="2:11" ht="20.25" thickBot="1">
      <c r="B11" s="83"/>
      <c r="C11" s="89" t="s">
        <v>18</v>
      </c>
      <c r="D11" s="144"/>
      <c r="F11" s="150" t="s">
        <v>19</v>
      </c>
      <c r="G11" s="151"/>
      <c r="H11" s="163" t="s">
        <v>20</v>
      </c>
      <c r="I11" s="164"/>
      <c r="J11" s="164"/>
      <c r="K11" s="165"/>
    </row>
    <row r="12" spans="2:11">
      <c r="G12" s="151"/>
    </row>
    <row r="13" spans="2:11">
      <c r="G13" s="151"/>
    </row>
    <row r="14" spans="2:11" ht="18">
      <c r="F14" s="83" t="s">
        <v>21</v>
      </c>
      <c r="G14" s="151"/>
    </row>
    <row r="15" spans="2:11" ht="13.5" customHeight="1" thickBot="1">
      <c r="B15" s="83"/>
      <c r="C15" s="90"/>
      <c r="D15" s="49"/>
      <c r="F15" s="146"/>
      <c r="G15" s="44"/>
    </row>
    <row r="16" spans="2:11" ht="59.25" customHeight="1" thickBot="1">
      <c r="B16" s="156" t="s">
        <v>14</v>
      </c>
      <c r="C16" s="145" t="s">
        <v>22</v>
      </c>
      <c r="D16" s="64"/>
      <c r="E16" s="64"/>
      <c r="F16" s="153" t="s">
        <v>23</v>
      </c>
      <c r="G16" s="154" t="s">
        <v>24</v>
      </c>
      <c r="I16" s="156" t="s">
        <v>16</v>
      </c>
      <c r="J16" s="153" t="s">
        <v>23</v>
      </c>
      <c r="K16" s="154" t="s">
        <v>24</v>
      </c>
    </row>
    <row r="17" spans="1:12" ht="16.5" thickBot="1">
      <c r="A17" s="157"/>
      <c r="B17" s="30" t="s">
        <v>25</v>
      </c>
      <c r="C17" s="152">
        <v>3997.3367200000002</v>
      </c>
      <c r="D17" s="67"/>
      <c r="E17" s="67"/>
      <c r="F17" s="162">
        <v>76235</v>
      </c>
      <c r="G17" s="155">
        <f t="shared" ref="G17:G25" si="0">+F17*$J$6</f>
        <v>84239.675000000003</v>
      </c>
      <c r="H17" s="122"/>
      <c r="I17" s="159" t="s">
        <v>25</v>
      </c>
      <c r="J17" s="162">
        <v>96472.454400000002</v>
      </c>
      <c r="K17" s="155">
        <f t="shared" ref="K17:K25" si="1">+J17*$J$6</f>
        <v>106602.062112</v>
      </c>
      <c r="L17" s="122"/>
    </row>
    <row r="18" spans="1:12" ht="16.5" thickBot="1">
      <c r="A18" s="157"/>
      <c r="B18" s="30" t="s">
        <v>26</v>
      </c>
      <c r="F18" s="162">
        <v>76235.453027999989</v>
      </c>
      <c r="G18" s="155">
        <f t="shared" si="0"/>
        <v>84240.175595939989</v>
      </c>
      <c r="H18" s="122"/>
      <c r="I18" s="159" t="s">
        <v>26</v>
      </c>
      <c r="J18" s="162">
        <v>96472.454400000002</v>
      </c>
      <c r="K18" s="155">
        <f t="shared" si="1"/>
        <v>106602.062112</v>
      </c>
      <c r="L18" s="122"/>
    </row>
    <row r="19" spans="1:12" ht="16.5" thickBot="1">
      <c r="B19" s="30" t="s">
        <v>27</v>
      </c>
      <c r="F19" s="162">
        <v>76235.453027999989</v>
      </c>
      <c r="G19" s="155">
        <f t="shared" si="0"/>
        <v>84240.175595939989</v>
      </c>
      <c r="H19" s="122"/>
      <c r="I19" s="159" t="s">
        <v>27</v>
      </c>
      <c r="J19" s="162">
        <v>96472.454400000002</v>
      </c>
      <c r="K19" s="155">
        <f t="shared" si="1"/>
        <v>106602.062112</v>
      </c>
      <c r="L19" s="122"/>
    </row>
    <row r="20" spans="1:12" ht="18" customHeight="1" thickBot="1">
      <c r="B20" s="30" t="s">
        <v>28</v>
      </c>
      <c r="C20" s="128"/>
      <c r="F20" s="162">
        <v>80047.807475999987</v>
      </c>
      <c r="G20" s="155">
        <f t="shared" si="0"/>
        <v>88452.82726097999</v>
      </c>
      <c r="H20" s="122"/>
      <c r="I20" s="159" t="s">
        <v>28</v>
      </c>
      <c r="J20" s="162">
        <v>101296.07711999999</v>
      </c>
      <c r="K20" s="155">
        <f t="shared" si="1"/>
        <v>111932.16521759998</v>
      </c>
      <c r="L20" s="122"/>
    </row>
    <row r="21" spans="1:12" ht="16.5" thickBot="1">
      <c r="B21" s="30" t="s">
        <v>29</v>
      </c>
      <c r="F21" s="162">
        <v>88434.141012000007</v>
      </c>
      <c r="G21" s="155">
        <f t="shared" si="0"/>
        <v>97719.725818260005</v>
      </c>
      <c r="H21" s="122"/>
      <c r="I21" s="159" t="s">
        <v>29</v>
      </c>
      <c r="J21" s="162">
        <v>111908.047104</v>
      </c>
      <c r="K21" s="155">
        <f t="shared" si="1"/>
        <v>123658.39204991999</v>
      </c>
      <c r="L21" s="122"/>
    </row>
    <row r="22" spans="1:12" ht="16.5" thickBot="1">
      <c r="B22" s="30" t="s">
        <v>30</v>
      </c>
      <c r="F22" s="162">
        <v>114353.70844799999</v>
      </c>
      <c r="G22" s="155">
        <f t="shared" si="0"/>
        <v>126360.84783503998</v>
      </c>
      <c r="H22" s="122"/>
      <c r="I22" s="159" t="s">
        <v>30</v>
      </c>
      <c r="J22" s="162">
        <v>144708.68159999998</v>
      </c>
      <c r="K22" s="155">
        <f t="shared" si="1"/>
        <v>159903.09316799996</v>
      </c>
      <c r="L22" s="122"/>
    </row>
    <row r="23" spans="1:12" ht="16.5" thickBot="1">
      <c r="B23" s="30" t="s">
        <v>31</v>
      </c>
      <c r="F23" s="162">
        <v>170767.88021999999</v>
      </c>
      <c r="G23" s="155">
        <f t="shared" si="0"/>
        <v>188698.50764309999</v>
      </c>
      <c r="H23" s="122"/>
      <c r="I23" s="159" t="s">
        <v>31</v>
      </c>
      <c r="J23" s="162">
        <v>216098.29785599999</v>
      </c>
      <c r="K23" s="155">
        <f t="shared" si="1"/>
        <v>238788.61913087999</v>
      </c>
      <c r="L23" s="122"/>
    </row>
    <row r="24" spans="1:12" ht="16.5" thickBot="1">
      <c r="B24" s="30" t="s">
        <v>32</v>
      </c>
      <c r="F24" s="162">
        <v>228707.41689599998</v>
      </c>
      <c r="G24" s="155">
        <f t="shared" si="0"/>
        <v>252721.69567007996</v>
      </c>
      <c r="H24" s="122"/>
      <c r="I24" s="159" t="s">
        <v>32</v>
      </c>
      <c r="J24" s="162">
        <v>289417.36319999996</v>
      </c>
      <c r="K24" s="155">
        <f t="shared" si="1"/>
        <v>319806.18633599993</v>
      </c>
      <c r="L24" s="122"/>
    </row>
    <row r="25" spans="1:12" ht="16.5" thickBot="1">
      <c r="B25" s="30" t="s">
        <v>33</v>
      </c>
      <c r="F25" s="162">
        <v>46503.531144</v>
      </c>
      <c r="G25" s="155">
        <f t="shared" si="0"/>
        <v>51386.401914119997</v>
      </c>
      <c r="H25" s="122"/>
      <c r="I25" s="159" t="s">
        <v>33</v>
      </c>
      <c r="J25" s="162">
        <v>58848.197183999997</v>
      </c>
      <c r="K25" s="155">
        <f t="shared" si="1"/>
        <v>65027.257888319997</v>
      </c>
      <c r="L25" s="122"/>
    </row>
    <row r="27" spans="1:12" ht="15.75" thickBot="1"/>
    <row r="28" spans="1:12" ht="60.75" thickBot="1">
      <c r="B28" s="156" t="s">
        <v>19</v>
      </c>
      <c r="C28" s="145" t="s">
        <v>22</v>
      </c>
      <c r="D28" s="64"/>
      <c r="E28" s="64"/>
      <c r="F28" s="153" t="s">
        <v>23</v>
      </c>
      <c r="G28" s="154" t="s">
        <v>24</v>
      </c>
    </row>
    <row r="29" spans="1:12" ht="16.5" thickBot="1">
      <c r="B29" s="30" t="s">
        <v>25</v>
      </c>
      <c r="C29" s="152">
        <v>3997.3367200000002</v>
      </c>
      <c r="D29" s="67"/>
      <c r="E29" s="67"/>
      <c r="F29" s="162">
        <v>114931.27379999998</v>
      </c>
      <c r="G29" s="155">
        <f>+F29*$J$6</f>
        <v>126999.05754899998</v>
      </c>
      <c r="H29" s="122"/>
    </row>
    <row r="30" spans="1:12" ht="16.5" thickBot="1">
      <c r="B30" s="30" t="s">
        <v>26</v>
      </c>
      <c r="F30" s="162">
        <v>114931.27379999998</v>
      </c>
      <c r="G30" s="155">
        <f t="shared" ref="G30:G37" si="2">+F30*$J$6</f>
        <v>126999.05754899998</v>
      </c>
      <c r="H30" s="122"/>
    </row>
    <row r="31" spans="1:12" ht="16.5" thickBot="1">
      <c r="B31" s="30" t="s">
        <v>27</v>
      </c>
      <c r="F31" s="162">
        <v>114931.27379999998</v>
      </c>
      <c r="G31" s="155">
        <f t="shared" si="2"/>
        <v>126999.05754899998</v>
      </c>
      <c r="H31" s="122"/>
    </row>
    <row r="32" spans="1:12" ht="24" thickBot="1">
      <c r="B32" s="30" t="s">
        <v>28</v>
      </c>
      <c r="C32" s="128"/>
      <c r="F32" s="162">
        <v>119977.03704</v>
      </c>
      <c r="G32" s="155">
        <f t="shared" si="2"/>
        <v>132574.6259292</v>
      </c>
      <c r="H32" s="122"/>
    </row>
    <row r="33" spans="2:8" ht="16.5" thickBot="1">
      <c r="B33" s="30" t="s">
        <v>29</v>
      </c>
      <c r="F33" s="162">
        <v>133320.277608</v>
      </c>
      <c r="G33" s="155">
        <f t="shared" si="2"/>
        <v>147318.90675684001</v>
      </c>
      <c r="H33" s="122"/>
    </row>
    <row r="34" spans="2:8" ht="16.5" thickBot="1">
      <c r="B34" s="30" t="s">
        <v>30</v>
      </c>
      <c r="F34" s="162">
        <v>171555.95016000001</v>
      </c>
      <c r="G34" s="155">
        <f t="shared" si="2"/>
        <v>189569.32492680001</v>
      </c>
      <c r="H34" s="122"/>
    </row>
    <row r="35" spans="2:8" ht="16.5" thickBot="1">
      <c r="B35" s="30" t="s">
        <v>31</v>
      </c>
      <c r="F35" s="162">
        <v>254867.10765599998</v>
      </c>
      <c r="G35" s="155">
        <f t="shared" si="2"/>
        <v>281628.15395987994</v>
      </c>
      <c r="H35" s="122"/>
    </row>
    <row r="36" spans="2:8" ht="16.5" thickBot="1">
      <c r="B36" s="30" t="s">
        <v>32</v>
      </c>
      <c r="F36" s="162">
        <v>340869.33888</v>
      </c>
      <c r="G36" s="155">
        <f t="shared" si="2"/>
        <v>376660.61946239998</v>
      </c>
      <c r="H36" s="122"/>
    </row>
    <row r="37" spans="2:8" ht="16.5" thickBot="1">
      <c r="B37" s="30" t="s">
        <v>33</v>
      </c>
      <c r="F37" s="162">
        <v>69967.916928000006</v>
      </c>
      <c r="G37" s="155">
        <f t="shared" si="2"/>
        <v>77314.548205440005</v>
      </c>
      <c r="H37" s="122"/>
    </row>
  </sheetData>
  <mergeCells count="7">
    <mergeCell ref="H10:K10"/>
    <mergeCell ref="H11:K11"/>
    <mergeCell ref="F2:I2"/>
    <mergeCell ref="F3:I3"/>
    <mergeCell ref="G5:I5"/>
    <mergeCell ref="G6:H6"/>
    <mergeCell ref="H9:K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7"/>
  <sheetViews>
    <sheetView workbookViewId="0">
      <selection activeCell="F17" sqref="F17"/>
    </sheetView>
  </sheetViews>
  <sheetFormatPr defaultColWidth="11.42578125" defaultRowHeight="15"/>
  <cols>
    <col min="2" max="2" width="37.140625" customWidth="1"/>
    <col min="3" max="3" width="36.140625" hidden="1" customWidth="1"/>
    <col min="4" max="5" width="0" hidden="1" customWidth="1"/>
    <col min="6" max="6" width="36.140625" customWidth="1"/>
    <col min="7" max="7" width="20.7109375" bestFit="1" customWidth="1"/>
    <col min="8" max="8" width="17.85546875" customWidth="1"/>
  </cols>
  <sheetData>
    <row r="1" spans="2:10" ht="15.75" thickBot="1"/>
    <row r="2" spans="2:10" ht="16.5" thickBot="1">
      <c r="B2" s="1" t="s">
        <v>0</v>
      </c>
      <c r="C2" s="2"/>
      <c r="F2" s="166" t="s">
        <v>1</v>
      </c>
      <c r="G2" s="167"/>
      <c r="H2" s="167"/>
      <c r="I2" s="168"/>
      <c r="J2" s="65"/>
    </row>
    <row r="3" spans="2:10" ht="18.75" thickBot="1">
      <c r="B3" s="83"/>
      <c r="C3" s="4"/>
      <c r="F3" s="169"/>
      <c r="G3" s="169"/>
      <c r="H3" s="169"/>
      <c r="I3" s="169"/>
    </row>
    <row r="4" spans="2:10" ht="18.75" thickBot="1">
      <c r="B4" s="84" t="s">
        <v>2</v>
      </c>
      <c r="C4" s="47">
        <v>43709</v>
      </c>
      <c r="D4" s="12"/>
      <c r="E4" s="12"/>
      <c r="F4" s="48">
        <v>46082</v>
      </c>
      <c r="G4" s="85"/>
      <c r="H4" s="43"/>
      <c r="I4" s="70"/>
    </row>
    <row r="5" spans="2:10" ht="19.5" thickBot="1">
      <c r="B5" s="83"/>
      <c r="C5" s="86"/>
      <c r="F5" s="86"/>
      <c r="G5" s="170"/>
      <c r="H5" s="170"/>
      <c r="I5" s="170"/>
      <c r="J5" s="9"/>
    </row>
    <row r="6" spans="2:10" ht="19.5" thickBot="1">
      <c r="B6" s="83" t="s">
        <v>4</v>
      </c>
      <c r="C6" s="87" t="s">
        <v>5</v>
      </c>
      <c r="F6" s="91" t="s">
        <v>34</v>
      </c>
      <c r="G6" s="171" t="s">
        <v>7</v>
      </c>
      <c r="H6" s="172"/>
      <c r="I6" s="9"/>
      <c r="J6" s="9"/>
    </row>
    <row r="7" spans="2:10" ht="18">
      <c r="B7" s="83"/>
      <c r="C7" s="49" t="s">
        <v>35</v>
      </c>
      <c r="F7" s="44"/>
    </row>
    <row r="8" spans="2:10" ht="18.75" thickBot="1">
      <c r="B8" s="83"/>
      <c r="C8" s="87"/>
      <c r="F8" s="87"/>
    </row>
    <row r="9" spans="2:10" ht="18.75">
      <c r="B9" s="83" t="s">
        <v>8</v>
      </c>
      <c r="C9" s="88" t="s">
        <v>9</v>
      </c>
      <c r="D9" s="173" t="s">
        <v>10</v>
      </c>
      <c r="F9" s="175" t="s">
        <v>36</v>
      </c>
      <c r="G9" s="177" t="s">
        <v>10</v>
      </c>
    </row>
    <row r="10" spans="2:10" ht="19.5" thickBot="1">
      <c r="B10" s="83"/>
      <c r="C10" s="89" t="s">
        <v>37</v>
      </c>
      <c r="D10" s="174"/>
      <c r="F10" s="176"/>
      <c r="G10" s="178"/>
    </row>
    <row r="11" spans="2:10" ht="18.75">
      <c r="B11" s="83"/>
      <c r="C11" s="88" t="s">
        <v>38</v>
      </c>
      <c r="D11" s="173" t="s">
        <v>39</v>
      </c>
      <c r="F11" s="180" t="s">
        <v>40</v>
      </c>
      <c r="G11" s="178"/>
    </row>
    <row r="12" spans="2:10" ht="19.5" thickBot="1">
      <c r="B12" s="83"/>
      <c r="C12" s="89" t="s">
        <v>18</v>
      </c>
      <c r="D12" s="174"/>
      <c r="F12" s="181"/>
      <c r="G12" s="179"/>
    </row>
    <row r="13" spans="2:10" ht="18.75">
      <c r="B13" s="83"/>
      <c r="C13" s="90"/>
      <c r="D13" s="49"/>
      <c r="F13" s="83" t="s">
        <v>21</v>
      </c>
      <c r="G13" s="49"/>
    </row>
    <row r="14" spans="2:10" ht="18.75" thickBot="1">
      <c r="B14" s="83"/>
      <c r="C14" s="87"/>
      <c r="F14" s="87"/>
    </row>
    <row r="15" spans="2:10" ht="18.75" thickBot="1">
      <c r="B15" s="129" t="s">
        <v>41</v>
      </c>
      <c r="C15" s="106" t="s">
        <v>22</v>
      </c>
      <c r="F15" s="106" t="s">
        <v>42</v>
      </c>
    </row>
    <row r="16" spans="2:10" ht="24" thickBot="1">
      <c r="B16" s="133" t="s">
        <v>43</v>
      </c>
      <c r="C16" s="134">
        <v>3997.3367200000002</v>
      </c>
      <c r="D16" s="25"/>
      <c r="E16" s="25"/>
      <c r="F16" s="135">
        <v>94067</v>
      </c>
      <c r="G16" s="122"/>
      <c r="H16" s="95"/>
      <c r="I16" s="95"/>
      <c r="J16" s="95"/>
    </row>
    <row r="17" spans="2:13" ht="24" thickBot="1">
      <c r="B17" s="139" t="s">
        <v>44</v>
      </c>
      <c r="C17" s="138"/>
      <c r="D17" s="136"/>
      <c r="E17" s="136"/>
      <c r="F17" s="137">
        <v>215198</v>
      </c>
      <c r="G17" s="122"/>
      <c r="H17" s="99"/>
      <c r="I17" s="99"/>
      <c r="J17" s="99"/>
      <c r="K17" s="99"/>
      <c r="L17" s="99"/>
      <c r="M17" s="99"/>
    </row>
  </sheetData>
  <mergeCells count="9">
    <mergeCell ref="F2:I2"/>
    <mergeCell ref="F3:I3"/>
    <mergeCell ref="G5:I5"/>
    <mergeCell ref="G6:H6"/>
    <mergeCell ref="D9:D10"/>
    <mergeCell ref="F9:F10"/>
    <mergeCell ref="G9:G12"/>
    <mergeCell ref="D11:D12"/>
    <mergeCell ref="F11:F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7"/>
  <sheetViews>
    <sheetView workbookViewId="0">
      <selection activeCell="F16" sqref="F16"/>
    </sheetView>
  </sheetViews>
  <sheetFormatPr defaultColWidth="11.42578125" defaultRowHeight="15"/>
  <cols>
    <col min="2" max="2" width="37.140625" customWidth="1"/>
    <col min="3" max="3" width="36.140625" hidden="1" customWidth="1"/>
    <col min="4" max="5" width="0" hidden="1" customWidth="1"/>
    <col min="6" max="6" width="36.140625" customWidth="1"/>
    <col min="7" max="7" width="20.7109375" bestFit="1" customWidth="1"/>
    <col min="8" max="8" width="17.85546875" customWidth="1"/>
  </cols>
  <sheetData>
    <row r="1" spans="2:10" ht="15.75" thickBot="1"/>
    <row r="2" spans="2:10" ht="16.5" thickBot="1">
      <c r="B2" s="1" t="s">
        <v>0</v>
      </c>
      <c r="C2" s="2"/>
      <c r="F2" s="166" t="s">
        <v>1</v>
      </c>
      <c r="G2" s="167"/>
      <c r="H2" s="167"/>
      <c r="I2" s="168"/>
      <c r="J2" s="65"/>
    </row>
    <row r="3" spans="2:10" ht="18.75" thickBot="1">
      <c r="B3" s="83"/>
      <c r="C3" s="4"/>
      <c r="F3" s="169"/>
      <c r="G3" s="169"/>
      <c r="H3" s="169"/>
      <c r="I3" s="169"/>
    </row>
    <row r="4" spans="2:10" ht="18.75" thickBot="1">
      <c r="B4" s="84" t="s">
        <v>2</v>
      </c>
      <c r="C4" s="47">
        <v>43709</v>
      </c>
      <c r="D4" s="12"/>
      <c r="E4" s="12"/>
      <c r="F4" s="48">
        <v>46082</v>
      </c>
      <c r="G4" s="85"/>
      <c r="H4" s="43"/>
      <c r="I4" s="70"/>
    </row>
    <row r="5" spans="2:10" ht="19.5" thickBot="1">
      <c r="B5" s="83"/>
      <c r="C5" s="86"/>
      <c r="F5" s="86"/>
      <c r="G5" s="170"/>
      <c r="H5" s="170"/>
      <c r="I5" s="170"/>
      <c r="J5" s="9"/>
    </row>
    <row r="6" spans="2:10" ht="19.5" thickBot="1">
      <c r="B6" s="83" t="s">
        <v>4</v>
      </c>
      <c r="C6" s="87" t="s">
        <v>5</v>
      </c>
      <c r="F6" s="91" t="s">
        <v>45</v>
      </c>
      <c r="G6" s="171" t="s">
        <v>7</v>
      </c>
      <c r="H6" s="172"/>
      <c r="I6" s="9"/>
      <c r="J6" s="9"/>
    </row>
    <row r="7" spans="2:10" ht="18.75" thickBot="1">
      <c r="B7" s="83"/>
      <c r="C7" s="49" t="s">
        <v>35</v>
      </c>
      <c r="F7" s="44"/>
    </row>
    <row r="8" spans="2:10" ht="18.75" thickBot="1">
      <c r="B8" s="83"/>
      <c r="C8" s="87"/>
      <c r="F8" s="91" t="s">
        <v>46</v>
      </c>
    </row>
    <row r="9" spans="2:10" ht="18.75">
      <c r="B9" s="83" t="s">
        <v>8</v>
      </c>
      <c r="C9" s="88" t="s">
        <v>9</v>
      </c>
      <c r="D9" s="173" t="s">
        <v>10</v>
      </c>
      <c r="F9" s="182" t="s">
        <v>47</v>
      </c>
      <c r="G9" s="183" t="s">
        <v>46</v>
      </c>
    </row>
    <row r="10" spans="2:10" ht="19.5" thickBot="1">
      <c r="B10" s="83"/>
      <c r="C10" s="89" t="s">
        <v>37</v>
      </c>
      <c r="D10" s="174"/>
      <c r="F10" s="176"/>
      <c r="G10" s="184"/>
    </row>
    <row r="11" spans="2:10" ht="18.75">
      <c r="B11" s="83"/>
      <c r="C11" s="88" t="s">
        <v>38</v>
      </c>
      <c r="D11" s="173" t="s">
        <v>39</v>
      </c>
      <c r="F11" s="180" t="s">
        <v>48</v>
      </c>
      <c r="G11" s="184"/>
    </row>
    <row r="12" spans="2:10" ht="19.5" thickBot="1">
      <c r="B12" s="83"/>
      <c r="C12" s="89" t="s">
        <v>18</v>
      </c>
      <c r="D12" s="174"/>
      <c r="F12" s="181"/>
      <c r="G12" s="185"/>
    </row>
    <row r="13" spans="2:10" ht="18.75">
      <c r="B13" s="83"/>
      <c r="C13" s="90"/>
      <c r="D13" s="49"/>
      <c r="F13" s="83" t="s">
        <v>21</v>
      </c>
      <c r="G13" s="49"/>
    </row>
    <row r="14" spans="2:10" ht="18.75" thickBot="1">
      <c r="B14" s="83"/>
      <c r="C14" s="87"/>
      <c r="F14" s="87"/>
    </row>
    <row r="15" spans="2:10" ht="18.75" thickBot="1">
      <c r="B15" s="129" t="s">
        <v>41</v>
      </c>
      <c r="C15" s="106" t="s">
        <v>22</v>
      </c>
      <c r="F15" s="106" t="s">
        <v>49</v>
      </c>
    </row>
    <row r="16" spans="2:10" ht="24" thickBot="1">
      <c r="B16" s="131" t="s">
        <v>50</v>
      </c>
      <c r="C16" s="130">
        <v>3997.3367200000002</v>
      </c>
      <c r="D16" s="12"/>
      <c r="E16" s="12"/>
      <c r="F16" s="132">
        <v>78761</v>
      </c>
      <c r="G16" s="122"/>
      <c r="H16" s="95"/>
      <c r="I16" s="95"/>
      <c r="J16" s="95"/>
    </row>
    <row r="17" spans="2:13" ht="23.25">
      <c r="B17" s="127"/>
      <c r="C17" s="128"/>
      <c r="F17" s="128"/>
      <c r="G17" s="122"/>
      <c r="H17" s="99"/>
      <c r="I17" s="99"/>
      <c r="J17" s="99"/>
      <c r="K17" s="99"/>
      <c r="L17" s="99"/>
      <c r="M17" s="99"/>
    </row>
  </sheetData>
  <mergeCells count="9">
    <mergeCell ref="D11:D12"/>
    <mergeCell ref="F9:F10"/>
    <mergeCell ref="G9:G12"/>
    <mergeCell ref="F11:F12"/>
    <mergeCell ref="F2:I2"/>
    <mergeCell ref="F3:I3"/>
    <mergeCell ref="G5:I5"/>
    <mergeCell ref="G6:H6"/>
    <mergeCell ref="D9:D1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108"/>
  <sheetViews>
    <sheetView tabSelected="1" workbookViewId="0">
      <selection activeCell="H7" sqref="H7"/>
    </sheetView>
  </sheetViews>
  <sheetFormatPr defaultColWidth="11.42578125" defaultRowHeight="15"/>
  <cols>
    <col min="2" max="2" width="35.7109375" bestFit="1" customWidth="1"/>
    <col min="3" max="5" width="20.7109375" hidden="1" customWidth="1"/>
    <col min="6" max="6" width="0.42578125" customWidth="1"/>
    <col min="7" max="7" width="26.85546875" customWidth="1"/>
    <col min="8" max="8" width="23.140625" bestFit="1" customWidth="1"/>
    <col min="9" max="9" width="27.85546875" customWidth="1"/>
    <col min="10" max="10" width="28.5703125" bestFit="1" customWidth="1"/>
    <col min="11" max="11" width="13" bestFit="1" customWidth="1"/>
    <col min="12" max="16" width="14" bestFit="1" customWidth="1"/>
  </cols>
  <sheetData>
    <row r="2" spans="2:14" ht="15.75" thickBot="1"/>
    <row r="3" spans="2:14" ht="16.5" thickBot="1">
      <c r="B3" s="1" t="s">
        <v>0</v>
      </c>
      <c r="C3" s="2"/>
      <c r="G3" s="166" t="s">
        <v>1</v>
      </c>
      <c r="H3" s="167"/>
      <c r="I3" s="167"/>
      <c r="J3" s="168"/>
    </row>
    <row r="4" spans="2:14" ht="18.75" thickBot="1">
      <c r="B4" s="3"/>
      <c r="C4" s="4"/>
      <c r="G4" s="169"/>
      <c r="H4" s="169"/>
      <c r="I4" s="169"/>
    </row>
    <row r="5" spans="2:14" ht="36.75" thickBot="1">
      <c r="B5" s="5" t="s">
        <v>2</v>
      </c>
      <c r="C5" s="6">
        <v>43709</v>
      </c>
      <c r="G5" s="7">
        <v>46082</v>
      </c>
      <c r="H5" s="193" t="s">
        <v>46</v>
      </c>
      <c r="I5" s="194"/>
      <c r="J5" s="195"/>
      <c r="K5" s="196"/>
      <c r="L5" s="196"/>
    </row>
    <row r="6" spans="2:14" ht="19.5" thickBot="1">
      <c r="B6" s="8"/>
      <c r="H6" s="171" t="s">
        <v>7</v>
      </c>
      <c r="I6" s="172"/>
      <c r="J6" s="9"/>
    </row>
    <row r="7" spans="2:14" ht="15.75" thickBot="1"/>
    <row r="8" spans="2:14" ht="27" thickBot="1">
      <c r="B8" s="197" t="s">
        <v>51</v>
      </c>
      <c r="C8" s="198"/>
      <c r="D8" s="198"/>
      <c r="E8" s="198"/>
      <c r="F8" s="198"/>
      <c r="G8" s="199"/>
      <c r="I8" s="200"/>
      <c r="J8" s="200"/>
    </row>
    <row r="9" spans="2:14" ht="16.5" thickBot="1">
      <c r="B9" s="10" t="s">
        <v>4</v>
      </c>
      <c r="C9" s="11" t="s">
        <v>52</v>
      </c>
      <c r="D9" s="12"/>
      <c r="E9" s="12"/>
      <c r="F9" s="12"/>
      <c r="G9" s="13" t="s">
        <v>53</v>
      </c>
      <c r="I9" s="125"/>
      <c r="J9" s="14"/>
      <c r="N9" s="14"/>
    </row>
    <row r="10" spans="2:14" ht="20.25" thickBot="1">
      <c r="B10" s="15" t="s">
        <v>54</v>
      </c>
      <c r="C10" s="16" t="s">
        <v>55</v>
      </c>
      <c r="D10" s="17" t="s">
        <v>10</v>
      </c>
      <c r="E10" s="12"/>
      <c r="F10" s="12"/>
      <c r="G10" s="18" t="s">
        <v>56</v>
      </c>
      <c r="H10" s="126"/>
      <c r="J10" s="20"/>
      <c r="K10" s="14"/>
      <c r="N10" s="21"/>
    </row>
    <row r="11" spans="2:14" ht="16.5" thickBot="1">
      <c r="B11" s="22"/>
      <c r="C11" s="23"/>
      <c r="D11" s="24"/>
      <c r="E11" s="25"/>
      <c r="F11" s="25"/>
      <c r="G11" s="26" t="s">
        <v>57</v>
      </c>
      <c r="H11" s="14"/>
      <c r="I11" s="142"/>
      <c r="J11" s="20"/>
      <c r="K11" s="14"/>
      <c r="N11" s="21"/>
    </row>
    <row r="12" spans="2:14" ht="15.75" thickBot="1">
      <c r="B12" s="186" t="s">
        <v>13</v>
      </c>
      <c r="C12" s="24" t="s">
        <v>58</v>
      </c>
      <c r="D12" s="25"/>
      <c r="E12" s="25"/>
      <c r="F12" s="25"/>
      <c r="G12" s="15" t="s">
        <v>59</v>
      </c>
      <c r="I12" s="189"/>
      <c r="J12" s="19"/>
    </row>
    <row r="13" spans="2:14" ht="16.5" thickBot="1">
      <c r="B13" s="187"/>
      <c r="C13" s="19" t="s">
        <v>60</v>
      </c>
      <c r="G13" s="15" t="s">
        <v>61</v>
      </c>
      <c r="H13" s="27"/>
      <c r="I13" s="189"/>
      <c r="J13" s="19"/>
      <c r="N13" s="14"/>
    </row>
    <row r="14" spans="2:14" ht="16.5" thickBot="1">
      <c r="B14" s="187"/>
      <c r="C14" s="28" t="s">
        <v>62</v>
      </c>
      <c r="D14" s="29"/>
      <c r="E14" s="29"/>
      <c r="F14" s="29"/>
      <c r="G14" s="15" t="s">
        <v>63</v>
      </c>
      <c r="I14" s="189"/>
      <c r="J14" s="19"/>
      <c r="N14" s="14"/>
    </row>
    <row r="15" spans="2:14" ht="16.5" thickBot="1">
      <c r="B15" s="187"/>
      <c r="C15" s="19"/>
      <c r="G15" s="15" t="s">
        <v>64</v>
      </c>
      <c r="I15" s="189"/>
      <c r="J15" s="19"/>
      <c r="N15" s="14"/>
    </row>
    <row r="16" spans="2:14" ht="16.5" thickBot="1">
      <c r="B16" s="188"/>
      <c r="C16" s="19"/>
      <c r="G16" s="15" t="s">
        <v>65</v>
      </c>
      <c r="H16" s="30" t="s">
        <v>66</v>
      </c>
      <c r="I16" s="189"/>
      <c r="J16" s="19"/>
      <c r="N16" s="14"/>
    </row>
    <row r="17" spans="2:15" ht="15.75">
      <c r="I17" s="189"/>
      <c r="J17" s="19"/>
      <c r="N17" s="14"/>
    </row>
    <row r="18" spans="2:15" ht="18">
      <c r="B18" s="83" t="s">
        <v>21</v>
      </c>
      <c r="G18" s="19"/>
      <c r="I18" s="19"/>
      <c r="J18" s="19"/>
    </row>
    <row r="19" spans="2:15" ht="15.75" thickBot="1"/>
    <row r="20" spans="2:15" ht="15.75" thickBot="1">
      <c r="B20" s="31" t="s">
        <v>59</v>
      </c>
      <c r="C20" s="32" t="s">
        <v>58</v>
      </c>
      <c r="D20" s="32" t="s">
        <v>60</v>
      </c>
      <c r="E20" s="32" t="s">
        <v>67</v>
      </c>
      <c r="G20" s="33" t="s">
        <v>68</v>
      </c>
      <c r="H20" s="34" t="s">
        <v>69</v>
      </c>
      <c r="I20" s="34" t="s">
        <v>70</v>
      </c>
      <c r="J20" s="34" t="s">
        <v>71</v>
      </c>
      <c r="K20" s="34" t="s">
        <v>72</v>
      </c>
    </row>
    <row r="21" spans="2:15" ht="15.75" thickBot="1">
      <c r="B21" s="35" t="s">
        <v>73</v>
      </c>
      <c r="C21" s="36">
        <v>6039</v>
      </c>
      <c r="D21" s="36">
        <v>7234</v>
      </c>
      <c r="E21" s="37">
        <v>4718</v>
      </c>
      <c r="G21" s="38">
        <v>95552.398882941503</v>
      </c>
      <c r="H21" s="38">
        <v>136919.87346889821</v>
      </c>
      <c r="I21" s="38">
        <v>161630.17270623057</v>
      </c>
      <c r="J21" s="38">
        <v>275320.06536826096</v>
      </c>
      <c r="K21" s="38">
        <v>425698.14126687532</v>
      </c>
    </row>
    <row r="22" spans="2:15" ht="15.75" thickBot="1">
      <c r="B22" s="35" t="s">
        <v>74</v>
      </c>
      <c r="C22" s="39"/>
      <c r="D22" s="39"/>
      <c r="E22" s="39"/>
      <c r="G22" s="38">
        <v>83222.400305569623</v>
      </c>
      <c r="H22" s="38">
        <v>0</v>
      </c>
      <c r="I22" s="38">
        <v>0</v>
      </c>
      <c r="J22" s="38">
        <v>0</v>
      </c>
      <c r="K22" s="38">
        <v>0</v>
      </c>
    </row>
    <row r="23" spans="2:15" ht="15.75" thickBot="1">
      <c r="B23" s="35" t="s">
        <v>75</v>
      </c>
      <c r="D23" s="190" t="s">
        <v>76</v>
      </c>
      <c r="E23" s="191"/>
      <c r="G23" s="38">
        <v>71959.524480255874</v>
      </c>
      <c r="H23" s="38">
        <v>0</v>
      </c>
      <c r="I23" s="38">
        <v>0</v>
      </c>
      <c r="J23" s="38">
        <v>0</v>
      </c>
      <c r="K23" s="38">
        <v>0</v>
      </c>
    </row>
    <row r="24" spans="2:15" ht="15.75" thickBot="1">
      <c r="D24" s="40"/>
      <c r="E24" s="41"/>
      <c r="H24" s="42"/>
      <c r="I24" s="42"/>
    </row>
    <row r="25" spans="2:15" ht="15.75" thickBot="1">
      <c r="B25" s="31" t="s">
        <v>61</v>
      </c>
      <c r="C25" s="42"/>
      <c r="D25" s="42"/>
      <c r="E25" s="42"/>
      <c r="G25" s="33" t="s">
        <v>68</v>
      </c>
      <c r="H25" s="34" t="s">
        <v>69</v>
      </c>
      <c r="I25" s="34" t="s">
        <v>70</v>
      </c>
      <c r="J25" s="34" t="s">
        <v>71</v>
      </c>
      <c r="K25" s="34" t="s">
        <v>72</v>
      </c>
    </row>
    <row r="26" spans="2:15" ht="15.75" thickBot="1">
      <c r="B26" s="35" t="s">
        <v>73</v>
      </c>
      <c r="C26" s="39"/>
      <c r="D26" s="39"/>
      <c r="E26" s="39"/>
      <c r="G26" s="38">
        <v>128665.54124983586</v>
      </c>
      <c r="H26" s="38">
        <v>186520.12223852216</v>
      </c>
      <c r="I26" s="38">
        <v>218962.57017090195</v>
      </c>
      <c r="J26" s="38">
        <v>377484.79277433688</v>
      </c>
      <c r="K26" s="38">
        <v>572891.61627017823</v>
      </c>
    </row>
    <row r="27" spans="2:15" ht="16.5" customHeight="1" thickBot="1">
      <c r="B27" s="35" t="s">
        <v>74</v>
      </c>
      <c r="C27" s="39"/>
      <c r="D27" s="39"/>
      <c r="E27" s="39"/>
      <c r="G27" s="38">
        <v>112020.34258754212</v>
      </c>
      <c r="H27" s="38">
        <v>0</v>
      </c>
      <c r="I27" s="38">
        <v>0</v>
      </c>
      <c r="J27" s="38">
        <v>0</v>
      </c>
      <c r="K27" s="38">
        <v>0</v>
      </c>
    </row>
    <row r="28" spans="2:15" ht="16.5" customHeight="1" thickBot="1">
      <c r="B28" s="35" t="s">
        <v>75</v>
      </c>
      <c r="G28" s="38">
        <v>96680.602735285778</v>
      </c>
      <c r="H28" s="38">
        <v>0</v>
      </c>
      <c r="I28" s="38">
        <v>0</v>
      </c>
      <c r="J28" s="38">
        <v>0</v>
      </c>
      <c r="K28" s="38">
        <v>0</v>
      </c>
    </row>
    <row r="29" spans="2:15">
      <c r="B29" s="43"/>
      <c r="C29" s="42"/>
      <c r="D29" s="42"/>
      <c r="E29" s="42"/>
      <c r="G29" s="44"/>
    </row>
    <row r="30" spans="2:15" ht="19.5" thickBot="1">
      <c r="C30" s="39"/>
      <c r="D30" s="39"/>
      <c r="E30" s="39"/>
      <c r="G30" s="39"/>
      <c r="H30" s="192"/>
      <c r="I30" s="192"/>
      <c r="J30" s="192"/>
      <c r="K30" s="192"/>
      <c r="L30" s="192"/>
      <c r="M30" s="192"/>
      <c r="N30" s="192"/>
      <c r="O30" s="192"/>
    </row>
    <row r="31" spans="2:15" ht="15.75" thickBot="1">
      <c r="B31" s="31" t="s">
        <v>63</v>
      </c>
      <c r="C31" s="39"/>
      <c r="D31" s="39"/>
      <c r="E31" s="39"/>
      <c r="G31" s="33" t="s">
        <v>68</v>
      </c>
      <c r="H31" s="34" t="s">
        <v>69</v>
      </c>
      <c r="I31" s="34" t="s">
        <v>70</v>
      </c>
      <c r="J31" s="34" t="s">
        <v>71</v>
      </c>
      <c r="K31" s="34" t="s">
        <v>72</v>
      </c>
    </row>
    <row r="32" spans="2:15" ht="15.75" thickBot="1">
      <c r="B32" s="35" t="s">
        <v>73</v>
      </c>
      <c r="G32" s="38">
        <v>163363.19921827104</v>
      </c>
      <c r="H32" s="38">
        <v>233770.54515007877</v>
      </c>
      <c r="I32" s="38">
        <v>273767.8868198127</v>
      </c>
      <c r="J32" s="38">
        <v>458874.76007132191</v>
      </c>
      <c r="K32" s="38">
        <v>683358.58264063892</v>
      </c>
    </row>
    <row r="33" spans="2:16" ht="15.75" thickBot="1">
      <c r="B33" s="35" t="s">
        <v>74</v>
      </c>
      <c r="G33" s="38">
        <v>142810.00780629646</v>
      </c>
      <c r="H33" s="38">
        <v>0</v>
      </c>
      <c r="I33" s="38">
        <v>0</v>
      </c>
      <c r="J33" s="38">
        <v>0</v>
      </c>
      <c r="K33" s="38">
        <v>0</v>
      </c>
    </row>
    <row r="34" spans="2:16" ht="15.75" thickBot="1">
      <c r="B34" s="35" t="s">
        <v>75</v>
      </c>
      <c r="G34" s="38">
        <v>124009.00560449134</v>
      </c>
      <c r="H34" s="38">
        <v>0</v>
      </c>
      <c r="I34" s="38">
        <v>0</v>
      </c>
      <c r="J34" s="38">
        <v>0</v>
      </c>
      <c r="K34" s="38">
        <v>0</v>
      </c>
    </row>
    <row r="35" spans="2:16" ht="15.75" thickBot="1">
      <c r="L35" s="122"/>
      <c r="M35" s="122"/>
      <c r="N35" s="122"/>
      <c r="O35" s="122"/>
      <c r="P35" s="122"/>
    </row>
    <row r="36" spans="2:16" ht="15.75" thickBot="1">
      <c r="B36" s="31" t="s">
        <v>64</v>
      </c>
      <c r="G36" s="33" t="s">
        <v>68</v>
      </c>
      <c r="H36" s="34" t="s">
        <v>69</v>
      </c>
      <c r="I36" s="34" t="s">
        <v>70</v>
      </c>
      <c r="J36" s="34" t="s">
        <v>71</v>
      </c>
      <c r="K36" s="34" t="s">
        <v>72</v>
      </c>
      <c r="L36" s="122"/>
      <c r="M36" s="122"/>
      <c r="N36" s="122"/>
      <c r="O36" s="122"/>
      <c r="P36" s="122"/>
    </row>
    <row r="37" spans="2:16" ht="15.75" thickBot="1">
      <c r="B37" s="35" t="s">
        <v>73</v>
      </c>
      <c r="G37" s="38">
        <v>280913.17788465985</v>
      </c>
      <c r="H37" s="38">
        <v>374448.70278952509</v>
      </c>
      <c r="I37" s="38">
        <v>492904.11894250859</v>
      </c>
      <c r="J37" s="38">
        <v>686872.5424100426</v>
      </c>
      <c r="K37" s="38">
        <v>936290.62825107458</v>
      </c>
    </row>
    <row r="38" spans="2:16" ht="15.75" thickBot="1">
      <c r="B38" s="35" t="s">
        <v>74</v>
      </c>
      <c r="G38" s="38">
        <v>246308.93806960343</v>
      </c>
      <c r="H38" s="38">
        <v>0</v>
      </c>
      <c r="I38" s="38">
        <v>0</v>
      </c>
      <c r="J38" s="38">
        <v>0</v>
      </c>
      <c r="K38" s="38">
        <v>0</v>
      </c>
    </row>
    <row r="39" spans="2:16" ht="15.75" thickBot="1">
      <c r="B39" s="35" t="s">
        <v>75</v>
      </c>
      <c r="G39" s="38">
        <v>214841.39240453605</v>
      </c>
      <c r="H39" s="38">
        <v>0</v>
      </c>
      <c r="I39" s="38">
        <v>0</v>
      </c>
      <c r="J39" s="38">
        <v>0</v>
      </c>
      <c r="K39" s="38">
        <v>0</v>
      </c>
    </row>
    <row r="40" spans="2:16" ht="15.75" thickBot="1">
      <c r="L40" s="122"/>
      <c r="M40" s="122"/>
      <c r="N40" s="122"/>
      <c r="O40" s="122"/>
      <c r="P40" s="122"/>
    </row>
    <row r="41" spans="2:16" ht="15.75" thickBot="1">
      <c r="B41" s="31" t="s">
        <v>77</v>
      </c>
      <c r="G41" s="33" t="s">
        <v>68</v>
      </c>
      <c r="H41" s="34" t="s">
        <v>69</v>
      </c>
      <c r="I41" s="34" t="s">
        <v>70</v>
      </c>
      <c r="J41" s="34" t="s">
        <v>71</v>
      </c>
      <c r="K41" s="34" t="s">
        <v>72</v>
      </c>
      <c r="L41" s="122"/>
      <c r="M41" s="122"/>
      <c r="N41" s="122"/>
      <c r="O41" s="122"/>
      <c r="P41" s="122"/>
    </row>
    <row r="42" spans="2:16" ht="15.75" thickBot="1">
      <c r="B42" s="35" t="s">
        <v>73</v>
      </c>
      <c r="G42" s="38">
        <v>96953.671183623897</v>
      </c>
      <c r="H42" s="38">
        <v>138584.63286885421</v>
      </c>
      <c r="I42" s="38">
        <v>163772.80189077824</v>
      </c>
      <c r="J42" s="38">
        <v>277466.28755870782</v>
      </c>
      <c r="K42" s="38">
        <v>431088.84778428671</v>
      </c>
    </row>
    <row r="43" spans="2:16" ht="15.75" thickBot="1">
      <c r="B43" s="35" t="s">
        <v>74</v>
      </c>
      <c r="G43" s="38">
        <v>84296.709069426113</v>
      </c>
      <c r="H43" s="38">
        <v>0</v>
      </c>
      <c r="I43" s="38">
        <v>0</v>
      </c>
      <c r="J43" s="38">
        <v>0</v>
      </c>
      <c r="K43" s="38">
        <v>0</v>
      </c>
    </row>
    <row r="44" spans="2:16" ht="15.75" thickBot="1">
      <c r="B44" s="35" t="s">
        <v>75</v>
      </c>
      <c r="G44" s="38">
        <v>72785.915837068547</v>
      </c>
      <c r="H44" s="38">
        <v>0</v>
      </c>
      <c r="I44" s="38">
        <v>0</v>
      </c>
      <c r="J44" s="38">
        <v>0</v>
      </c>
      <c r="K44" s="38">
        <v>0</v>
      </c>
    </row>
    <row r="46" spans="2:16" ht="15.75">
      <c r="B46" s="27" t="s">
        <v>78</v>
      </c>
    </row>
    <row r="108" spans="6:6" ht="409.5">
      <c r="F108" s="158" t="s">
        <v>79</v>
      </c>
    </row>
  </sheetData>
  <mergeCells count="11">
    <mergeCell ref="B12:B16"/>
    <mergeCell ref="I12:I17"/>
    <mergeCell ref="D23:E23"/>
    <mergeCell ref="H30:O30"/>
    <mergeCell ref="G3:J3"/>
    <mergeCell ref="G4:I4"/>
    <mergeCell ref="H5:I5"/>
    <mergeCell ref="J5:L5"/>
    <mergeCell ref="H6:I6"/>
    <mergeCell ref="B8:G8"/>
    <mergeCell ref="I8:J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D38"/>
  <sheetViews>
    <sheetView workbookViewId="0">
      <selection activeCell="CB4" sqref="CB4"/>
    </sheetView>
  </sheetViews>
  <sheetFormatPr defaultColWidth="11.42578125" defaultRowHeight="15"/>
  <cols>
    <col min="2" max="2" width="25.7109375" customWidth="1"/>
    <col min="3" max="5" width="25.7109375" hidden="1" customWidth="1"/>
    <col min="6" max="6" width="13" hidden="1" customWidth="1"/>
    <col min="7" max="9" width="25.7109375" hidden="1" customWidth="1"/>
    <col min="10" max="10" width="7.42578125" hidden="1" customWidth="1"/>
    <col min="11" max="13" width="25.7109375" hidden="1" customWidth="1"/>
    <col min="14" max="14" width="13" hidden="1" customWidth="1"/>
    <col min="15" max="17" width="25.7109375" hidden="1" customWidth="1"/>
    <col min="18" max="18" width="10.42578125" hidden="1" customWidth="1"/>
    <col min="19" max="21" width="25.7109375" hidden="1" customWidth="1"/>
    <col min="22" max="22" width="7.42578125" hidden="1" customWidth="1"/>
    <col min="23" max="25" width="25.7109375" hidden="1" customWidth="1"/>
    <col min="26" max="26" width="13" hidden="1" customWidth="1"/>
    <col min="27" max="29" width="25.7109375" hidden="1" customWidth="1"/>
    <col min="30" max="30" width="10.42578125" hidden="1" customWidth="1"/>
    <col min="31" max="33" width="25.7109375" hidden="1" customWidth="1"/>
    <col min="34" max="34" width="7.42578125" hidden="1" customWidth="1"/>
    <col min="35" max="37" width="25.7109375" hidden="1" customWidth="1"/>
    <col min="38" max="38" width="11.42578125" hidden="1" customWidth="1"/>
    <col min="39" max="41" width="25.7109375" hidden="1" customWidth="1"/>
    <col min="42" max="42" width="11.42578125" hidden="1" customWidth="1"/>
    <col min="43" max="45" width="25.7109375" hidden="1" customWidth="1"/>
    <col min="46" max="46" width="11.42578125" hidden="1" customWidth="1"/>
    <col min="47" max="49" width="25.7109375" hidden="1" customWidth="1"/>
    <col min="50" max="50" width="11.42578125" hidden="1" customWidth="1"/>
    <col min="51" max="53" width="25.7109375" hidden="1" customWidth="1"/>
    <col min="54" max="54" width="11.42578125" hidden="1" customWidth="1"/>
    <col min="55" max="57" width="25.7109375" hidden="1" customWidth="1"/>
    <col min="58" max="58" width="11.42578125" hidden="1" customWidth="1"/>
    <col min="59" max="61" width="25.7109375" hidden="1" customWidth="1"/>
    <col min="62" max="62" width="11.42578125" hidden="1" customWidth="1"/>
    <col min="63" max="65" width="25.7109375" hidden="1" customWidth="1"/>
    <col min="66" max="66" width="11.42578125" hidden="1" customWidth="1"/>
    <col min="67" max="69" width="25.7109375" hidden="1" customWidth="1"/>
    <col min="70" max="70" width="11.42578125" hidden="1" customWidth="1"/>
    <col min="71" max="73" width="25.7109375" hidden="1" customWidth="1"/>
    <col min="74" max="74" width="11.42578125" hidden="1" customWidth="1"/>
    <col min="75" max="77" width="25.7109375" hidden="1" customWidth="1"/>
    <col min="78" max="78" width="11.42578125" hidden="1" customWidth="1"/>
    <col min="79" max="79" width="28" bestFit="1" customWidth="1"/>
    <col min="80" max="80" width="25.7109375" customWidth="1"/>
    <col min="81" max="81" width="23" bestFit="1" customWidth="1"/>
    <col min="82" max="84" width="13" bestFit="1" customWidth="1"/>
  </cols>
  <sheetData>
    <row r="1" spans="2:82" ht="15.75" thickBot="1"/>
    <row r="2" spans="2:82" ht="16.5" thickBot="1">
      <c r="B2" s="10" t="s">
        <v>80</v>
      </c>
      <c r="C2" s="2" t="s">
        <v>81</v>
      </c>
      <c r="G2" s="2" t="s">
        <v>82</v>
      </c>
      <c r="K2" s="2" t="s">
        <v>83</v>
      </c>
      <c r="O2" s="2" t="s">
        <v>84</v>
      </c>
      <c r="S2" s="2" t="s">
        <v>84</v>
      </c>
      <c r="W2" s="2" t="s">
        <v>85</v>
      </c>
      <c r="AA2" s="2" t="s">
        <v>86</v>
      </c>
      <c r="AE2" s="2" t="s">
        <v>87</v>
      </c>
      <c r="AI2" s="2" t="s">
        <v>88</v>
      </c>
      <c r="AM2" s="2" t="s">
        <v>89</v>
      </c>
      <c r="AQ2" s="2" t="s">
        <v>90</v>
      </c>
      <c r="AU2" s="2" t="s">
        <v>91</v>
      </c>
      <c r="AY2" s="2" t="s">
        <v>92</v>
      </c>
      <c r="BC2" s="2" t="s">
        <v>93</v>
      </c>
      <c r="BG2" s="2" t="s">
        <v>94</v>
      </c>
      <c r="BK2" s="2" t="s">
        <v>94</v>
      </c>
      <c r="BO2" s="2" t="s">
        <v>94</v>
      </c>
      <c r="BS2" s="2" t="s">
        <v>95</v>
      </c>
      <c r="BW2" s="2" t="s">
        <v>95</v>
      </c>
      <c r="CA2" s="166" t="s">
        <v>1</v>
      </c>
      <c r="CB2" s="167"/>
      <c r="CC2" s="168"/>
    </row>
    <row r="3" spans="2:82" ht="16.5" thickBot="1">
      <c r="B3" s="14"/>
      <c r="CA3" s="169"/>
      <c r="CB3" s="169"/>
      <c r="CC3" s="169"/>
    </row>
    <row r="4" spans="2:82" ht="16.5" thickBot="1">
      <c r="B4" s="45" t="s">
        <v>2</v>
      </c>
      <c r="C4" s="46">
        <v>42552</v>
      </c>
      <c r="D4" s="12"/>
      <c r="E4" s="12"/>
      <c r="F4" s="12"/>
      <c r="G4" s="46">
        <v>42644</v>
      </c>
      <c r="H4" s="12"/>
      <c r="I4" s="12"/>
      <c r="J4" s="12"/>
      <c r="K4" s="47">
        <v>42767</v>
      </c>
      <c r="L4" s="12"/>
      <c r="M4" s="12"/>
      <c r="N4" s="12"/>
      <c r="O4" s="47">
        <v>42917</v>
      </c>
      <c r="P4" s="12"/>
      <c r="Q4" s="12"/>
      <c r="R4" s="12"/>
      <c r="S4" s="47">
        <v>42948</v>
      </c>
      <c r="T4" s="12"/>
      <c r="U4" s="12"/>
      <c r="V4" s="12"/>
      <c r="W4" s="47">
        <v>42979</v>
      </c>
      <c r="X4" s="12"/>
      <c r="Y4" s="12"/>
      <c r="Z4" s="12"/>
      <c r="AA4" s="47">
        <v>43070</v>
      </c>
      <c r="AB4" s="12"/>
      <c r="AC4" s="12"/>
      <c r="AD4" s="12"/>
      <c r="AE4" s="47">
        <v>43132</v>
      </c>
      <c r="AF4" s="12"/>
      <c r="AG4" s="12"/>
      <c r="AH4" s="12"/>
      <c r="AI4" s="47">
        <v>43252</v>
      </c>
      <c r="AJ4" s="12"/>
      <c r="AK4" s="12"/>
      <c r="AL4" s="12"/>
      <c r="AM4" s="47">
        <v>43313</v>
      </c>
      <c r="AN4" s="12"/>
      <c r="AO4" s="12"/>
      <c r="AP4" s="12"/>
      <c r="AQ4" s="47">
        <v>43374</v>
      </c>
      <c r="AR4" s="12"/>
      <c r="AS4" s="12"/>
      <c r="AT4" s="12"/>
      <c r="AU4" s="47">
        <v>43435</v>
      </c>
      <c r="AV4" s="12"/>
      <c r="AW4" s="12"/>
      <c r="AX4" s="12"/>
      <c r="AY4" s="47">
        <v>43497</v>
      </c>
      <c r="AZ4" s="12"/>
      <c r="BA4" s="12"/>
      <c r="BB4" s="12"/>
      <c r="BC4" s="47">
        <v>43586</v>
      </c>
      <c r="BD4" s="12"/>
      <c r="BE4" s="12"/>
      <c r="BF4" s="12"/>
      <c r="BG4" s="47">
        <v>43647</v>
      </c>
      <c r="BH4" s="12"/>
      <c r="BI4" s="12"/>
      <c r="BJ4" s="12"/>
      <c r="BK4" s="47">
        <v>43678</v>
      </c>
      <c r="BL4" s="12"/>
      <c r="BM4" s="12"/>
      <c r="BN4" s="12"/>
      <c r="BO4" s="47">
        <v>43709</v>
      </c>
      <c r="BP4" s="12"/>
      <c r="BQ4" s="12"/>
      <c r="BR4" s="12"/>
      <c r="BS4" s="47">
        <v>43739</v>
      </c>
      <c r="BT4" s="12"/>
      <c r="BU4" s="12"/>
      <c r="BV4" s="12"/>
      <c r="BW4" s="47">
        <v>43770</v>
      </c>
      <c r="BX4" s="12"/>
      <c r="BY4" s="12"/>
      <c r="BZ4" s="12"/>
      <c r="CA4" s="48">
        <v>46082</v>
      </c>
    </row>
    <row r="5" spans="2:82" ht="16.5" thickBot="1">
      <c r="B5" s="14"/>
      <c r="C5" s="49"/>
      <c r="G5" s="49"/>
      <c r="K5" s="49"/>
      <c r="O5" s="49"/>
      <c r="S5" s="49"/>
      <c r="W5" s="49"/>
      <c r="AA5" s="49"/>
      <c r="AE5" s="49"/>
      <c r="AI5" s="49"/>
      <c r="AM5" s="49"/>
      <c r="AQ5" s="49"/>
      <c r="AU5" s="49"/>
      <c r="AY5" s="49"/>
      <c r="BC5" s="49"/>
      <c r="BG5" s="49"/>
      <c r="BK5" s="49"/>
      <c r="BO5" s="49"/>
      <c r="BS5" s="49"/>
      <c r="BW5" s="49"/>
      <c r="CA5" s="49"/>
    </row>
    <row r="6" spans="2:82" ht="19.5" thickBot="1">
      <c r="B6" s="14" t="s">
        <v>4</v>
      </c>
      <c r="C6" s="50" t="s">
        <v>96</v>
      </c>
      <c r="G6" s="50" t="s">
        <v>96</v>
      </c>
      <c r="K6" s="50" t="s">
        <v>96</v>
      </c>
      <c r="O6" s="50" t="s">
        <v>96</v>
      </c>
      <c r="S6" s="50" t="s">
        <v>96</v>
      </c>
      <c r="W6" s="50" t="s">
        <v>96</v>
      </c>
      <c r="AA6" s="50" t="s">
        <v>96</v>
      </c>
      <c r="AE6" s="50" t="s">
        <v>96</v>
      </c>
      <c r="AI6" s="50" t="s">
        <v>96</v>
      </c>
      <c r="AM6" s="50" t="s">
        <v>96</v>
      </c>
      <c r="AQ6" s="50" t="s">
        <v>96</v>
      </c>
      <c r="AU6" s="50" t="s">
        <v>96</v>
      </c>
      <c r="AY6" s="50" t="s">
        <v>96</v>
      </c>
      <c r="BC6" s="50" t="s">
        <v>96</v>
      </c>
      <c r="BG6" s="50" t="s">
        <v>96</v>
      </c>
      <c r="BK6" s="50" t="s">
        <v>96</v>
      </c>
      <c r="BO6" s="50" t="s">
        <v>96</v>
      </c>
      <c r="BS6" s="50" t="s">
        <v>96</v>
      </c>
      <c r="BW6" s="50" t="s">
        <v>96</v>
      </c>
      <c r="CA6" s="50" t="s">
        <v>96</v>
      </c>
      <c r="CB6" s="171" t="s">
        <v>97</v>
      </c>
      <c r="CC6" s="172"/>
      <c r="CD6" s="9"/>
    </row>
    <row r="7" spans="2:82" ht="15.75">
      <c r="B7" s="14"/>
      <c r="C7" s="49"/>
      <c r="G7" s="49"/>
      <c r="K7" s="49"/>
      <c r="O7" s="49"/>
      <c r="S7" s="49"/>
      <c r="W7" s="49"/>
      <c r="AA7" s="49"/>
      <c r="AE7" s="49"/>
      <c r="AI7" s="49"/>
      <c r="AM7" s="49"/>
      <c r="AQ7" s="49"/>
      <c r="AU7" s="49"/>
      <c r="AY7" s="49"/>
      <c r="BC7" s="49"/>
      <c r="BG7" s="49"/>
      <c r="BK7" s="49"/>
      <c r="BO7" s="49"/>
      <c r="BS7" s="49"/>
      <c r="BW7" s="49"/>
      <c r="CA7" s="49"/>
    </row>
    <row r="8" spans="2:82" ht="15.75">
      <c r="B8" s="14" t="s">
        <v>98</v>
      </c>
      <c r="C8" s="50" t="s">
        <v>99</v>
      </c>
      <c r="G8" s="50" t="s">
        <v>99</v>
      </c>
      <c r="K8" s="50" t="s">
        <v>99</v>
      </c>
      <c r="O8" s="50" t="s">
        <v>99</v>
      </c>
      <c r="S8" s="50" t="s">
        <v>99</v>
      </c>
      <c r="W8" s="50" t="s">
        <v>99</v>
      </c>
      <c r="AA8" s="50" t="s">
        <v>99</v>
      </c>
      <c r="AE8" s="50" t="s">
        <v>99</v>
      </c>
      <c r="AI8" s="50" t="s">
        <v>99</v>
      </c>
      <c r="AM8" s="50" t="s">
        <v>99</v>
      </c>
      <c r="AQ8" s="50" t="s">
        <v>99</v>
      </c>
      <c r="AU8" s="50" t="s">
        <v>99</v>
      </c>
      <c r="AY8" s="50" t="s">
        <v>99</v>
      </c>
      <c r="BC8" s="50" t="s">
        <v>99</v>
      </c>
      <c r="BG8" s="50" t="s">
        <v>99</v>
      </c>
      <c r="BK8" s="50" t="s">
        <v>99</v>
      </c>
      <c r="BO8" s="50" t="s">
        <v>99</v>
      </c>
      <c r="BS8" s="50" t="s">
        <v>99</v>
      </c>
      <c r="BW8" s="50" t="s">
        <v>99</v>
      </c>
      <c r="CA8" s="50" t="s">
        <v>100</v>
      </c>
    </row>
    <row r="9" spans="2:82" ht="15.75">
      <c r="B9" s="14"/>
      <c r="C9" s="50" t="s">
        <v>101</v>
      </c>
      <c r="G9" s="50" t="s">
        <v>101</v>
      </c>
      <c r="K9" s="50" t="s">
        <v>101</v>
      </c>
      <c r="O9" s="50" t="s">
        <v>101</v>
      </c>
      <c r="S9" s="50" t="s">
        <v>101</v>
      </c>
      <c r="W9" s="50" t="s">
        <v>101</v>
      </c>
      <c r="AA9" s="50" t="s">
        <v>101</v>
      </c>
      <c r="AE9" s="50" t="s">
        <v>101</v>
      </c>
      <c r="AI9" s="50" t="s">
        <v>101</v>
      </c>
      <c r="AM9" s="50" t="s">
        <v>101</v>
      </c>
      <c r="AQ9" s="50" t="s">
        <v>101</v>
      </c>
      <c r="AU9" s="50" t="s">
        <v>101</v>
      </c>
      <c r="AY9" s="50" t="s">
        <v>101</v>
      </c>
      <c r="BC9" s="50" t="s">
        <v>101</v>
      </c>
      <c r="BG9" s="50" t="s">
        <v>101</v>
      </c>
      <c r="BK9" s="50" t="s">
        <v>101</v>
      </c>
      <c r="BO9" s="50" t="s">
        <v>101</v>
      </c>
      <c r="BS9" s="50" t="s">
        <v>101</v>
      </c>
      <c r="BW9" s="50" t="s">
        <v>101</v>
      </c>
      <c r="CA9" s="50" t="s">
        <v>102</v>
      </c>
    </row>
    <row r="10" spans="2:82" ht="18">
      <c r="B10" s="14"/>
      <c r="C10" s="50"/>
      <c r="G10" s="50"/>
      <c r="K10" s="50"/>
      <c r="O10" s="50"/>
      <c r="S10" s="50"/>
      <c r="W10" s="50"/>
      <c r="AA10" s="50"/>
      <c r="AE10" s="50"/>
      <c r="AI10" s="50"/>
      <c r="AM10" s="50"/>
      <c r="AQ10" s="50"/>
      <c r="AU10" s="50"/>
      <c r="AY10" s="50"/>
      <c r="BC10" s="50"/>
      <c r="BG10" s="50"/>
      <c r="BK10" s="50"/>
      <c r="BO10" s="50"/>
      <c r="BS10" s="50"/>
      <c r="BW10" s="50"/>
      <c r="CA10" s="50"/>
      <c r="CB10" s="83" t="s">
        <v>21</v>
      </c>
    </row>
    <row r="11" spans="2:82" ht="15.75">
      <c r="B11" s="14" t="s">
        <v>41</v>
      </c>
      <c r="C11" s="50" t="s">
        <v>103</v>
      </c>
      <c r="G11" s="50" t="s">
        <v>103</v>
      </c>
      <c r="K11" s="50" t="s">
        <v>103</v>
      </c>
      <c r="O11" s="50" t="s">
        <v>103</v>
      </c>
      <c r="S11" s="50" t="s">
        <v>103</v>
      </c>
      <c r="W11" s="50" t="s">
        <v>103</v>
      </c>
      <c r="AA11" s="50" t="s">
        <v>103</v>
      </c>
      <c r="AE11" s="50" t="s">
        <v>103</v>
      </c>
      <c r="AI11" s="50" t="s">
        <v>103</v>
      </c>
      <c r="AM11" s="50" t="s">
        <v>103</v>
      </c>
      <c r="AQ11" s="50" t="s">
        <v>103</v>
      </c>
      <c r="AU11" s="50" t="s">
        <v>103</v>
      </c>
      <c r="AY11" s="50" t="s">
        <v>103</v>
      </c>
      <c r="BC11" s="50" t="s">
        <v>103</v>
      </c>
      <c r="BG11" s="50" t="s">
        <v>103</v>
      </c>
      <c r="BK11" s="50" t="s">
        <v>103</v>
      </c>
      <c r="BO11" s="50" t="s">
        <v>103</v>
      </c>
      <c r="BS11" s="50" t="s">
        <v>103</v>
      </c>
      <c r="BW11" s="50" t="s">
        <v>103</v>
      </c>
      <c r="CA11" s="50" t="s">
        <v>103</v>
      </c>
    </row>
    <row r="12" spans="2:82" ht="15.75">
      <c r="C12" s="50" t="s">
        <v>104</v>
      </c>
      <c r="G12" s="50" t="s">
        <v>104</v>
      </c>
      <c r="K12" s="50" t="s">
        <v>104</v>
      </c>
      <c r="O12" s="50" t="s">
        <v>104</v>
      </c>
      <c r="S12" s="50" t="s">
        <v>104</v>
      </c>
      <c r="W12" s="50" t="s">
        <v>104</v>
      </c>
      <c r="AA12" s="50" t="s">
        <v>104</v>
      </c>
      <c r="AE12" s="50" t="s">
        <v>104</v>
      </c>
      <c r="AI12" s="50" t="s">
        <v>104</v>
      </c>
      <c r="AM12" s="50" t="s">
        <v>104</v>
      </c>
      <c r="AQ12" s="50" t="s">
        <v>104</v>
      </c>
      <c r="AU12" s="50" t="s">
        <v>104</v>
      </c>
      <c r="AY12" s="50" t="s">
        <v>104</v>
      </c>
      <c r="BC12" s="50" t="s">
        <v>104</v>
      </c>
      <c r="BG12" s="50" t="s">
        <v>104</v>
      </c>
      <c r="BK12" s="50" t="s">
        <v>104</v>
      </c>
      <c r="BO12" s="50" t="s">
        <v>104</v>
      </c>
      <c r="BS12" s="50" t="s">
        <v>104</v>
      </c>
      <c r="BW12" s="50" t="s">
        <v>104</v>
      </c>
      <c r="CA12" s="50" t="s">
        <v>104</v>
      </c>
    </row>
    <row r="13" spans="2:82" ht="18.75">
      <c r="C13" s="50" t="s">
        <v>105</v>
      </c>
      <c r="G13" s="50" t="s">
        <v>105</v>
      </c>
      <c r="K13" s="50" t="s">
        <v>105</v>
      </c>
      <c r="O13" s="50" t="s">
        <v>105</v>
      </c>
      <c r="S13" s="50" t="s">
        <v>105</v>
      </c>
      <c r="W13" s="50" t="s">
        <v>105</v>
      </c>
      <c r="AA13" s="50" t="s">
        <v>105</v>
      </c>
      <c r="AE13" s="50" t="s">
        <v>105</v>
      </c>
      <c r="AI13" s="50" t="s">
        <v>105</v>
      </c>
      <c r="AM13" s="50" t="s">
        <v>105</v>
      </c>
      <c r="AQ13" s="50" t="s">
        <v>105</v>
      </c>
      <c r="AU13" s="50" t="s">
        <v>105</v>
      </c>
      <c r="AY13" s="50" t="s">
        <v>105</v>
      </c>
      <c r="BC13" s="50" t="s">
        <v>105</v>
      </c>
      <c r="BG13" s="50" t="s">
        <v>105</v>
      </c>
      <c r="BK13" s="50" t="s">
        <v>105</v>
      </c>
      <c r="BO13" s="50" t="s">
        <v>105</v>
      </c>
      <c r="BS13" s="50" t="s">
        <v>105</v>
      </c>
      <c r="BW13" s="50" t="s">
        <v>105</v>
      </c>
      <c r="CA13" s="50" t="s">
        <v>105</v>
      </c>
      <c r="CB13" s="9" t="s">
        <v>46</v>
      </c>
    </row>
    <row r="14" spans="2:82" ht="15.75">
      <c r="C14" s="50"/>
      <c r="G14" s="50"/>
      <c r="K14" s="50"/>
      <c r="O14" s="50"/>
      <c r="S14" s="50"/>
      <c r="W14" s="50"/>
      <c r="AA14" s="50"/>
      <c r="AE14" s="50"/>
      <c r="AI14" s="50"/>
      <c r="AM14" s="50"/>
      <c r="AQ14" s="50"/>
      <c r="AU14" s="50"/>
      <c r="AY14" s="50"/>
      <c r="BC14" s="50"/>
      <c r="BG14" s="50"/>
      <c r="BK14" s="50"/>
      <c r="BO14" s="50"/>
      <c r="BS14" s="50"/>
      <c r="BW14" s="50"/>
      <c r="CA14" s="50"/>
    </row>
    <row r="15" spans="2:82" ht="18.75">
      <c r="CD15" s="101" t="s">
        <v>106</v>
      </c>
    </row>
    <row r="16" spans="2:82" ht="18">
      <c r="C16" s="51" t="s">
        <v>103</v>
      </c>
      <c r="D16" s="52" t="s">
        <v>104</v>
      </c>
      <c r="E16" s="53" t="s">
        <v>105</v>
      </c>
      <c r="G16" s="51" t="s">
        <v>103</v>
      </c>
      <c r="H16" s="52" t="s">
        <v>104</v>
      </c>
      <c r="I16" s="53" t="s">
        <v>105</v>
      </c>
      <c r="K16" s="51" t="s">
        <v>103</v>
      </c>
      <c r="L16" s="52" t="s">
        <v>104</v>
      </c>
      <c r="M16" s="53" t="s">
        <v>105</v>
      </c>
      <c r="O16" s="51" t="s">
        <v>103</v>
      </c>
      <c r="P16" s="52" t="s">
        <v>104</v>
      </c>
      <c r="Q16" s="53" t="s">
        <v>105</v>
      </c>
      <c r="S16" s="51" t="s">
        <v>103</v>
      </c>
      <c r="T16" s="52" t="s">
        <v>104</v>
      </c>
      <c r="U16" s="53" t="s">
        <v>105</v>
      </c>
      <c r="W16" s="51" t="s">
        <v>103</v>
      </c>
      <c r="X16" s="52" t="s">
        <v>104</v>
      </c>
      <c r="Y16" s="53" t="s">
        <v>105</v>
      </c>
      <c r="AA16" s="51" t="s">
        <v>103</v>
      </c>
      <c r="AB16" s="52" t="s">
        <v>104</v>
      </c>
      <c r="AC16" s="53" t="s">
        <v>105</v>
      </c>
      <c r="AE16" s="51" t="s">
        <v>103</v>
      </c>
      <c r="AF16" s="52" t="s">
        <v>104</v>
      </c>
      <c r="AG16" s="53" t="s">
        <v>105</v>
      </c>
      <c r="AI16" s="51" t="s">
        <v>103</v>
      </c>
      <c r="AJ16" s="52" t="s">
        <v>104</v>
      </c>
      <c r="AK16" s="53" t="s">
        <v>105</v>
      </c>
      <c r="AM16" s="51" t="s">
        <v>103</v>
      </c>
      <c r="AN16" s="52" t="s">
        <v>104</v>
      </c>
      <c r="AO16" s="53" t="s">
        <v>105</v>
      </c>
      <c r="AQ16" s="51" t="s">
        <v>103</v>
      </c>
      <c r="AR16" s="52" t="s">
        <v>104</v>
      </c>
      <c r="AS16" s="53" t="s">
        <v>105</v>
      </c>
      <c r="AU16" s="51" t="s">
        <v>103</v>
      </c>
      <c r="AV16" s="52" t="s">
        <v>104</v>
      </c>
      <c r="AW16" s="53" t="s">
        <v>105</v>
      </c>
      <c r="AY16" s="51" t="s">
        <v>103</v>
      </c>
      <c r="AZ16" s="52" t="s">
        <v>104</v>
      </c>
      <c r="BA16" s="53" t="s">
        <v>105</v>
      </c>
      <c r="BC16" s="51" t="s">
        <v>103</v>
      </c>
      <c r="BD16" s="52" t="s">
        <v>104</v>
      </c>
      <c r="BE16" s="53" t="s">
        <v>105</v>
      </c>
      <c r="BG16" s="51" t="s">
        <v>103</v>
      </c>
      <c r="BH16" s="52" t="s">
        <v>104</v>
      </c>
      <c r="BI16" s="53" t="s">
        <v>105</v>
      </c>
      <c r="BK16" s="51" t="s">
        <v>103</v>
      </c>
      <c r="BL16" s="52" t="s">
        <v>104</v>
      </c>
      <c r="BM16" s="53" t="s">
        <v>105</v>
      </c>
      <c r="BO16" s="51" t="s">
        <v>103</v>
      </c>
      <c r="BP16" s="52" t="s">
        <v>104</v>
      </c>
      <c r="BQ16" s="53" t="s">
        <v>105</v>
      </c>
      <c r="BS16" s="51" t="s">
        <v>103</v>
      </c>
      <c r="BT16" s="52" t="s">
        <v>104</v>
      </c>
      <c r="BU16" s="53" t="s">
        <v>105</v>
      </c>
      <c r="BW16" s="51" t="s">
        <v>103</v>
      </c>
      <c r="BX16" s="52" t="s">
        <v>104</v>
      </c>
      <c r="BY16" s="53" t="s">
        <v>105</v>
      </c>
      <c r="CA16" s="54" t="s">
        <v>103</v>
      </c>
      <c r="CB16" s="55" t="s">
        <v>104</v>
      </c>
      <c r="CC16" s="56" t="s">
        <v>105</v>
      </c>
    </row>
    <row r="17" spans="2:81" ht="15.75">
      <c r="B17" s="57" t="s">
        <v>107</v>
      </c>
      <c r="C17" s="58">
        <v>1023</v>
      </c>
      <c r="D17" s="58">
        <v>1154</v>
      </c>
      <c r="E17" s="58">
        <v>1469</v>
      </c>
      <c r="G17" s="58">
        <f>C17*1.09</f>
        <v>1115.0700000000002</v>
      </c>
      <c r="H17" s="58">
        <f t="shared" ref="H17:I30" si="0">D17*1.09</f>
        <v>1257.8600000000001</v>
      </c>
      <c r="I17" s="58">
        <f t="shared" si="0"/>
        <v>1601.21</v>
      </c>
      <c r="K17" s="58">
        <f>G17*1.06</f>
        <v>1181.9742000000003</v>
      </c>
      <c r="L17" s="58">
        <f t="shared" ref="L17:M30" si="1">H17*1.06</f>
        <v>1333.3316000000002</v>
      </c>
      <c r="M17" s="58">
        <f t="shared" si="1"/>
        <v>1697.2826000000002</v>
      </c>
      <c r="O17" s="58">
        <f>K17*1.06</f>
        <v>1252.8926520000005</v>
      </c>
      <c r="P17" s="58">
        <f t="shared" ref="P17:Q30" si="2">L17*1.06</f>
        <v>1413.3314960000002</v>
      </c>
      <c r="Q17" s="58">
        <f t="shared" si="2"/>
        <v>1799.1195560000003</v>
      </c>
      <c r="S17" s="58">
        <f>O17*1.05</f>
        <v>1315.5372846000005</v>
      </c>
      <c r="T17" s="58">
        <f t="shared" ref="T17:U30" si="3">P17*1.05</f>
        <v>1483.9980708000003</v>
      </c>
      <c r="U17" s="58">
        <f t="shared" si="3"/>
        <v>1889.0755338000004</v>
      </c>
      <c r="W17" s="58">
        <f>S17*1.05</f>
        <v>1381.3141488300005</v>
      </c>
      <c r="X17" s="58">
        <f t="shared" ref="X17:Y30" si="4">T17*1.05</f>
        <v>1558.1979743400004</v>
      </c>
      <c r="Y17" s="58">
        <f t="shared" si="4"/>
        <v>1983.5293104900004</v>
      </c>
      <c r="AA17" s="58">
        <f>W17*1.06</f>
        <v>1464.1929977598006</v>
      </c>
      <c r="AB17" s="58">
        <f>X17*1.06</f>
        <v>1651.6898528004006</v>
      </c>
      <c r="AC17" s="58">
        <f>Y17*1.06</f>
        <v>2102.5410691194006</v>
      </c>
      <c r="AE17" s="58">
        <f>AA17*1.04</f>
        <v>1522.7607176701927</v>
      </c>
      <c r="AF17" s="58">
        <f t="shared" ref="AF17:AG30" si="5">AB17*1.04</f>
        <v>1717.7574469124165</v>
      </c>
      <c r="AG17" s="58">
        <f t="shared" si="5"/>
        <v>2186.6427118841766</v>
      </c>
      <c r="AI17" s="58">
        <f>AE17*1.075</f>
        <v>1636.9677714954571</v>
      </c>
      <c r="AJ17" s="58">
        <f>AF17*1.075</f>
        <v>1846.5892554308477</v>
      </c>
      <c r="AK17" s="58">
        <f>AG17*1.075</f>
        <v>2350.6409152754895</v>
      </c>
      <c r="AM17" s="58">
        <f>AI17*1.075</f>
        <v>1759.7403543576163</v>
      </c>
      <c r="AN17" s="58">
        <f t="shared" ref="AN17:AO30" si="6">AJ17*1.075</f>
        <v>1985.0834495881613</v>
      </c>
      <c r="AO17" s="58">
        <f t="shared" si="6"/>
        <v>2526.9389839211512</v>
      </c>
      <c r="AQ17" s="58">
        <f>AM17*1.08</f>
        <v>1900.5195827062257</v>
      </c>
      <c r="AR17" s="58">
        <f>AN17*1.08</f>
        <v>2143.8901255552146</v>
      </c>
      <c r="AS17" s="58">
        <f>AO17*1.08</f>
        <v>2729.0941026348437</v>
      </c>
      <c r="AU17" s="58">
        <f>AQ17*1.085</f>
        <v>2062.063747236255</v>
      </c>
      <c r="AV17" s="58">
        <f t="shared" ref="AV17:AW30" si="7">AR17*1.085</f>
        <v>2326.1207862274077</v>
      </c>
      <c r="AW17" s="58">
        <f t="shared" si="7"/>
        <v>2961.0671013588053</v>
      </c>
      <c r="AY17" s="58">
        <f>AU17*1.05</f>
        <v>2165.1669345980681</v>
      </c>
      <c r="AZ17" s="58">
        <f t="shared" ref="AZ17:BA30" si="8">AV17*1.05</f>
        <v>2442.4268255387783</v>
      </c>
      <c r="BA17" s="58">
        <f t="shared" si="8"/>
        <v>3109.1204564267455</v>
      </c>
      <c r="BC17" s="58">
        <f>AY17*1.075</f>
        <v>2327.5544546929232</v>
      </c>
      <c r="BD17" s="58">
        <f t="shared" ref="BD17:BE30" si="9">AZ17*1.075</f>
        <v>2625.6088374541864</v>
      </c>
      <c r="BE17" s="58">
        <f t="shared" si="9"/>
        <v>3342.3044906587511</v>
      </c>
      <c r="BG17" s="58">
        <f>BC17*1.055</f>
        <v>2455.5699497010337</v>
      </c>
      <c r="BH17" s="58">
        <f t="shared" ref="BH17:BI30" si="10">BD17*1.055</f>
        <v>2770.0173235141665</v>
      </c>
      <c r="BI17" s="58">
        <f t="shared" si="10"/>
        <v>3526.1312376449823</v>
      </c>
      <c r="BK17" s="58">
        <f>BC17*1.115</f>
        <v>2595.2232169826093</v>
      </c>
      <c r="BL17" s="58">
        <f t="shared" ref="BL17:BM30" si="11">BD17*1.115</f>
        <v>2927.5538537614179</v>
      </c>
      <c r="BM17" s="58">
        <f t="shared" si="11"/>
        <v>3726.6695070845076</v>
      </c>
      <c r="BO17" s="58">
        <f>BC17*1.175</f>
        <v>2734.8764842641849</v>
      </c>
      <c r="BP17" s="58">
        <f t="shared" ref="BP17:BQ30" si="12">BD17*1.175</f>
        <v>3085.0903840086689</v>
      </c>
      <c r="BQ17" s="58">
        <f t="shared" si="12"/>
        <v>3927.2077765240329</v>
      </c>
      <c r="BS17" s="58">
        <f>BO17*1.04</f>
        <v>2844.2715436347526</v>
      </c>
      <c r="BT17" s="58">
        <f t="shared" ref="BT17:BU30" si="13">BP17*1.04</f>
        <v>3208.4939993690159</v>
      </c>
      <c r="BU17" s="58">
        <f t="shared" si="13"/>
        <v>4084.2960875849944</v>
      </c>
      <c r="BW17" s="58">
        <f>BS17*1.04</f>
        <v>2958.0424053801426</v>
      </c>
      <c r="BX17" s="58">
        <f t="shared" ref="BX17:BY30" si="14">BT17*1.04</f>
        <v>3336.8337593437768</v>
      </c>
      <c r="BY17" s="58">
        <f t="shared" si="14"/>
        <v>4247.6679310883947</v>
      </c>
      <c r="CA17" s="38">
        <v>126085.00596763674</v>
      </c>
      <c r="CB17" s="38">
        <v>151981.39759471442</v>
      </c>
      <c r="CC17" s="38">
        <v>172717.22230667376</v>
      </c>
    </row>
    <row r="18" spans="2:81" ht="15.75">
      <c r="B18" s="57" t="s">
        <v>108</v>
      </c>
      <c r="C18" s="58">
        <v>1887</v>
      </c>
      <c r="D18" s="58">
        <v>2162</v>
      </c>
      <c r="E18" s="58">
        <v>2769</v>
      </c>
      <c r="G18" s="58">
        <f t="shared" ref="G18:G30" si="15">C18*1.09</f>
        <v>2056.83</v>
      </c>
      <c r="H18" s="58">
        <f t="shared" si="0"/>
        <v>2356.5800000000004</v>
      </c>
      <c r="I18" s="58">
        <f t="shared" si="0"/>
        <v>3018.21</v>
      </c>
      <c r="K18" s="58">
        <f t="shared" ref="K18:K30" si="16">G18*1.06</f>
        <v>2180.2397999999998</v>
      </c>
      <c r="L18" s="58">
        <f t="shared" si="1"/>
        <v>2497.9748000000004</v>
      </c>
      <c r="M18" s="58">
        <f t="shared" si="1"/>
        <v>3199.3026</v>
      </c>
      <c r="O18" s="58">
        <f t="shared" ref="O18:O30" si="17">K18*1.06</f>
        <v>2311.0541880000001</v>
      </c>
      <c r="P18" s="58">
        <f t="shared" si="2"/>
        <v>2647.8532880000007</v>
      </c>
      <c r="Q18" s="58">
        <f t="shared" si="2"/>
        <v>3391.2607560000001</v>
      </c>
      <c r="S18" s="58">
        <f t="shared" ref="S18:S30" si="18">O18*1.05</f>
        <v>2426.6068974</v>
      </c>
      <c r="T18" s="58">
        <f t="shared" si="3"/>
        <v>2780.245952400001</v>
      </c>
      <c r="U18" s="58">
        <f t="shared" si="3"/>
        <v>3560.8237938000002</v>
      </c>
      <c r="W18" s="58">
        <f t="shared" ref="W18:W30" si="19">S18*1.05</f>
        <v>2547.9372422700003</v>
      </c>
      <c r="X18" s="58">
        <f t="shared" si="4"/>
        <v>2919.258250020001</v>
      </c>
      <c r="Y18" s="58">
        <f t="shared" si="4"/>
        <v>3738.8649834900002</v>
      </c>
      <c r="AA18" s="58">
        <f t="shared" ref="AA18:AC30" si="20">W18*1.06</f>
        <v>2700.8134768062005</v>
      </c>
      <c r="AB18" s="58">
        <f t="shared" si="20"/>
        <v>3094.4137450212011</v>
      </c>
      <c r="AC18" s="58">
        <f t="shared" si="20"/>
        <v>3963.1968824994005</v>
      </c>
      <c r="AE18" s="58">
        <f t="shared" ref="AE18:AE30" si="21">AA18*1.04</f>
        <v>2808.8460158784487</v>
      </c>
      <c r="AF18" s="58">
        <f t="shared" si="5"/>
        <v>3218.1902948220491</v>
      </c>
      <c r="AG18" s="58">
        <f t="shared" si="5"/>
        <v>4121.7247577993767</v>
      </c>
      <c r="AI18" s="58">
        <f t="shared" ref="AI18:AK30" si="22">AE18*1.075</f>
        <v>3019.5094670693325</v>
      </c>
      <c r="AJ18" s="58">
        <f t="shared" si="22"/>
        <v>3459.5545669337025</v>
      </c>
      <c r="AK18" s="58">
        <f t="shared" si="22"/>
        <v>4430.8541146343296</v>
      </c>
      <c r="AM18" s="58">
        <f t="shared" ref="AM18:AM30" si="23">AI18*1.075</f>
        <v>3245.9726770995321</v>
      </c>
      <c r="AN18" s="58">
        <f t="shared" si="6"/>
        <v>3719.02115945373</v>
      </c>
      <c r="AO18" s="58">
        <f t="shared" si="6"/>
        <v>4763.1681732319039</v>
      </c>
      <c r="AQ18" s="58">
        <f t="shared" ref="AQ18:AS30" si="24">AM18*1.08</f>
        <v>3505.650491267495</v>
      </c>
      <c r="AR18" s="58">
        <f t="shared" si="24"/>
        <v>4016.5428522100287</v>
      </c>
      <c r="AS18" s="58">
        <f t="shared" si="24"/>
        <v>5144.2216270904564</v>
      </c>
      <c r="AU18" s="58">
        <f t="shared" ref="AU18:AU30" si="25">AQ18*1.085</f>
        <v>3803.6307830252322</v>
      </c>
      <c r="AV18" s="58">
        <f t="shared" si="7"/>
        <v>4357.9489946478807</v>
      </c>
      <c r="AW18" s="58">
        <f t="shared" si="7"/>
        <v>5581.4804653931451</v>
      </c>
      <c r="AY18" s="58">
        <f t="shared" ref="AY18:AY30" si="26">AU18*1.05</f>
        <v>3993.812322176494</v>
      </c>
      <c r="AZ18" s="58">
        <f t="shared" si="8"/>
        <v>4575.846444380275</v>
      </c>
      <c r="BA18" s="58">
        <f t="shared" si="8"/>
        <v>5860.5544886628022</v>
      </c>
      <c r="BC18" s="58">
        <f t="shared" ref="BC18:BC30" si="27">AY18*1.075</f>
        <v>4293.3482463397313</v>
      </c>
      <c r="BD18" s="58">
        <f t="shared" si="9"/>
        <v>4919.0349277087953</v>
      </c>
      <c r="BE18" s="58">
        <f t="shared" si="9"/>
        <v>6300.0960753125119</v>
      </c>
      <c r="BG18" s="58">
        <f t="shared" ref="BG18:BG30" si="28">BC18*1.055</f>
        <v>4529.4823998884167</v>
      </c>
      <c r="BH18" s="58">
        <f t="shared" si="10"/>
        <v>5189.5818487327788</v>
      </c>
      <c r="BI18" s="58">
        <f t="shared" si="10"/>
        <v>6646.6013594546994</v>
      </c>
      <c r="BK18" s="58">
        <f t="shared" ref="BK18:BK30" si="29">BC18*1.115</f>
        <v>4787.0832946688006</v>
      </c>
      <c r="BL18" s="58">
        <f t="shared" si="11"/>
        <v>5484.7239443953067</v>
      </c>
      <c r="BM18" s="58">
        <f t="shared" si="11"/>
        <v>7024.6071239734511</v>
      </c>
      <c r="BO18" s="58">
        <f t="shared" ref="BO18:BO30" si="30">BC18*1.175</f>
        <v>5044.6841894491845</v>
      </c>
      <c r="BP18" s="58">
        <f t="shared" si="12"/>
        <v>5779.8660400578347</v>
      </c>
      <c r="BQ18" s="58">
        <f t="shared" si="12"/>
        <v>7402.6128884922018</v>
      </c>
      <c r="BS18" s="58">
        <f t="shared" ref="BS18:BS30" si="31">BO18*1.04</f>
        <v>5246.4715570271519</v>
      </c>
      <c r="BT18" s="58">
        <f t="shared" si="13"/>
        <v>6011.0606816601485</v>
      </c>
      <c r="BU18" s="58">
        <f t="shared" si="13"/>
        <v>7698.7174040318905</v>
      </c>
      <c r="BW18" s="58">
        <f t="shared" ref="BW18:BW30" si="32">BS18*1.04</f>
        <v>5456.3304193082386</v>
      </c>
      <c r="BX18" s="58">
        <f t="shared" si="14"/>
        <v>6251.5031089265549</v>
      </c>
      <c r="BY18" s="58">
        <f t="shared" si="14"/>
        <v>8006.6661001931661</v>
      </c>
      <c r="CA18" s="38">
        <v>235443.92404929624</v>
      </c>
      <c r="CB18" s="38">
        <v>284730.61928172526</v>
      </c>
      <c r="CC18" s="38">
        <v>327305.4937610217</v>
      </c>
    </row>
    <row r="19" spans="2:81" ht="15.75">
      <c r="B19" s="57" t="s">
        <v>109</v>
      </c>
      <c r="C19" s="58">
        <v>1348</v>
      </c>
      <c r="D19" s="58">
        <v>1461</v>
      </c>
      <c r="E19" s="58">
        <v>1891</v>
      </c>
      <c r="G19" s="58">
        <f t="shared" si="15"/>
        <v>1469.3200000000002</v>
      </c>
      <c r="H19" s="58">
        <f t="shared" si="0"/>
        <v>1592.49</v>
      </c>
      <c r="I19" s="58">
        <f t="shared" si="0"/>
        <v>2061.19</v>
      </c>
      <c r="K19" s="58">
        <f t="shared" si="16"/>
        <v>1557.4792000000002</v>
      </c>
      <c r="L19" s="58">
        <f t="shared" si="1"/>
        <v>1688.0394000000001</v>
      </c>
      <c r="M19" s="58">
        <f t="shared" si="1"/>
        <v>2184.8614000000002</v>
      </c>
      <c r="O19" s="58">
        <f t="shared" si="17"/>
        <v>1650.9279520000002</v>
      </c>
      <c r="P19" s="58">
        <f t="shared" si="2"/>
        <v>1789.3217640000003</v>
      </c>
      <c r="Q19" s="58">
        <f t="shared" si="2"/>
        <v>2315.9530840000002</v>
      </c>
      <c r="S19" s="58">
        <f t="shared" si="18"/>
        <v>1733.4743496000003</v>
      </c>
      <c r="T19" s="58">
        <f t="shared" si="3"/>
        <v>1878.7878522000003</v>
      </c>
      <c r="U19" s="58">
        <f t="shared" si="3"/>
        <v>2431.7507382000003</v>
      </c>
      <c r="W19" s="58">
        <f t="shared" si="19"/>
        <v>1820.1480670800004</v>
      </c>
      <c r="X19" s="58">
        <f t="shared" si="4"/>
        <v>1972.7272448100005</v>
      </c>
      <c r="Y19" s="58">
        <f t="shared" si="4"/>
        <v>2553.3382751100003</v>
      </c>
      <c r="AA19" s="58">
        <f t="shared" si="20"/>
        <v>1929.3569511048006</v>
      </c>
      <c r="AB19" s="58">
        <f t="shared" si="20"/>
        <v>2091.0908794986008</v>
      </c>
      <c r="AC19" s="58">
        <f t="shared" si="20"/>
        <v>2706.5385716166006</v>
      </c>
      <c r="AE19" s="58">
        <f t="shared" si="21"/>
        <v>2006.5312291489927</v>
      </c>
      <c r="AF19" s="58">
        <f t="shared" si="5"/>
        <v>2174.7345146785447</v>
      </c>
      <c r="AG19" s="58">
        <f t="shared" si="5"/>
        <v>2814.8001144812647</v>
      </c>
      <c r="AI19" s="58">
        <f t="shared" si="22"/>
        <v>2157.0210713351671</v>
      </c>
      <c r="AJ19" s="58">
        <f t="shared" si="22"/>
        <v>2337.8396032794353</v>
      </c>
      <c r="AK19" s="58">
        <f t="shared" si="22"/>
        <v>3025.9101230673596</v>
      </c>
      <c r="AM19" s="58">
        <f t="shared" si="23"/>
        <v>2318.7976516853046</v>
      </c>
      <c r="AN19" s="58">
        <f t="shared" si="6"/>
        <v>2513.1775735253927</v>
      </c>
      <c r="AO19" s="58">
        <f t="shared" si="6"/>
        <v>3252.8533822974114</v>
      </c>
      <c r="AQ19" s="58">
        <f t="shared" si="24"/>
        <v>2504.3014638201289</v>
      </c>
      <c r="AR19" s="58">
        <f t="shared" si="24"/>
        <v>2714.2317794074243</v>
      </c>
      <c r="AS19" s="58">
        <f t="shared" si="24"/>
        <v>3513.0816528812047</v>
      </c>
      <c r="AU19" s="58">
        <f t="shared" si="25"/>
        <v>2717.1670882448398</v>
      </c>
      <c r="AV19" s="58">
        <f t="shared" si="7"/>
        <v>2944.9414806570553</v>
      </c>
      <c r="AW19" s="58">
        <f t="shared" si="7"/>
        <v>3811.6935933761069</v>
      </c>
      <c r="AY19" s="58">
        <f t="shared" si="26"/>
        <v>2853.0254426570818</v>
      </c>
      <c r="AZ19" s="58">
        <f t="shared" si="8"/>
        <v>3092.1885546899084</v>
      </c>
      <c r="BA19" s="58">
        <f t="shared" si="8"/>
        <v>4002.2782730449126</v>
      </c>
      <c r="BC19" s="58">
        <f t="shared" si="27"/>
        <v>3067.0023508563627</v>
      </c>
      <c r="BD19" s="58">
        <f t="shared" si="9"/>
        <v>3324.1026962916512</v>
      </c>
      <c r="BE19" s="58">
        <f t="shared" si="9"/>
        <v>4302.4491435232812</v>
      </c>
      <c r="BG19" s="58">
        <f t="shared" si="28"/>
        <v>3235.6874801534623</v>
      </c>
      <c r="BH19" s="58">
        <f t="shared" si="10"/>
        <v>3506.9283445876918</v>
      </c>
      <c r="BI19" s="58">
        <f t="shared" si="10"/>
        <v>4539.0838464170611</v>
      </c>
      <c r="BK19" s="58">
        <f t="shared" si="29"/>
        <v>3419.7076212048441</v>
      </c>
      <c r="BL19" s="58">
        <f t="shared" si="11"/>
        <v>3706.3745063651909</v>
      </c>
      <c r="BM19" s="58">
        <f t="shared" si="11"/>
        <v>4797.2307950284585</v>
      </c>
      <c r="BO19" s="58">
        <f t="shared" si="30"/>
        <v>3603.7277622562265</v>
      </c>
      <c r="BP19" s="58">
        <f t="shared" si="12"/>
        <v>3905.8206681426905</v>
      </c>
      <c r="BQ19" s="58">
        <f t="shared" si="12"/>
        <v>5055.3777436398559</v>
      </c>
      <c r="BS19" s="58">
        <f t="shared" si="31"/>
        <v>3747.8768727464758</v>
      </c>
      <c r="BT19" s="58">
        <f t="shared" si="13"/>
        <v>4062.053494868398</v>
      </c>
      <c r="BU19" s="58">
        <f t="shared" si="13"/>
        <v>5257.5928533854503</v>
      </c>
      <c r="BW19" s="58">
        <f t="shared" si="32"/>
        <v>3897.7919476563347</v>
      </c>
      <c r="BX19" s="58">
        <f t="shared" si="14"/>
        <v>4224.5356346631343</v>
      </c>
      <c r="BY19" s="58">
        <f t="shared" si="14"/>
        <v>5467.8965675208683</v>
      </c>
      <c r="CA19" s="38">
        <v>158486.7543670937</v>
      </c>
      <c r="CB19" s="38">
        <v>192395.92654312146</v>
      </c>
      <c r="CC19" s="38">
        <v>222320.5676960673</v>
      </c>
    </row>
    <row r="20" spans="2:81" ht="15.75">
      <c r="B20" s="57" t="s">
        <v>110</v>
      </c>
      <c r="C20" s="58">
        <v>2384</v>
      </c>
      <c r="D20" s="58">
        <v>2668</v>
      </c>
      <c r="E20" s="58">
        <v>3527</v>
      </c>
      <c r="G20" s="58">
        <f t="shared" si="15"/>
        <v>2598.5600000000004</v>
      </c>
      <c r="H20" s="58">
        <f t="shared" si="0"/>
        <v>2908.1200000000003</v>
      </c>
      <c r="I20" s="58">
        <f t="shared" si="0"/>
        <v>3844.4300000000003</v>
      </c>
      <c r="K20" s="58">
        <f t="shared" si="16"/>
        <v>2754.4736000000007</v>
      </c>
      <c r="L20" s="58">
        <f t="shared" si="1"/>
        <v>3082.6072000000004</v>
      </c>
      <c r="M20" s="58">
        <f t="shared" si="1"/>
        <v>4075.0958000000005</v>
      </c>
      <c r="O20" s="58">
        <f t="shared" si="17"/>
        <v>2919.7420160000011</v>
      </c>
      <c r="P20" s="58">
        <f t="shared" si="2"/>
        <v>3267.5636320000008</v>
      </c>
      <c r="Q20" s="58">
        <f t="shared" si="2"/>
        <v>4319.6015480000005</v>
      </c>
      <c r="S20" s="58">
        <f t="shared" si="18"/>
        <v>3065.7291168000011</v>
      </c>
      <c r="T20" s="58">
        <f t="shared" si="3"/>
        <v>3430.9418136000008</v>
      </c>
      <c r="U20" s="58">
        <f t="shared" si="3"/>
        <v>4535.581625400001</v>
      </c>
      <c r="W20" s="58">
        <f t="shared" si="19"/>
        <v>3219.0155726400012</v>
      </c>
      <c r="X20" s="58">
        <f t="shared" si="4"/>
        <v>3602.488904280001</v>
      </c>
      <c r="Y20" s="58">
        <f t="shared" si="4"/>
        <v>4762.3607066700015</v>
      </c>
      <c r="AA20" s="58">
        <f t="shared" si="20"/>
        <v>3412.1565069984013</v>
      </c>
      <c r="AB20" s="58">
        <f t="shared" si="20"/>
        <v>3818.6382385368011</v>
      </c>
      <c r="AC20" s="58">
        <f t="shared" si="20"/>
        <v>5048.1023490702019</v>
      </c>
      <c r="AE20" s="58">
        <f t="shared" si="21"/>
        <v>3548.6427672783375</v>
      </c>
      <c r="AF20" s="58">
        <f t="shared" si="5"/>
        <v>3971.3837680782731</v>
      </c>
      <c r="AG20" s="58">
        <f t="shared" si="5"/>
        <v>5250.0264430330099</v>
      </c>
      <c r="AI20" s="58">
        <f t="shared" si="22"/>
        <v>3814.7909748242128</v>
      </c>
      <c r="AJ20" s="58">
        <f t="shared" si="22"/>
        <v>4269.2375506841436</v>
      </c>
      <c r="AK20" s="58">
        <f t="shared" si="22"/>
        <v>5643.7784262604855</v>
      </c>
      <c r="AM20" s="58">
        <f t="shared" si="23"/>
        <v>4100.9002979360284</v>
      </c>
      <c r="AN20" s="58">
        <f t="shared" si="6"/>
        <v>4589.4303669854544</v>
      </c>
      <c r="AO20" s="58">
        <f t="shared" si="6"/>
        <v>6067.0618082300216</v>
      </c>
      <c r="AQ20" s="58">
        <f t="shared" si="24"/>
        <v>4428.9723217709106</v>
      </c>
      <c r="AR20" s="58">
        <f t="shared" si="24"/>
        <v>4956.5847963442911</v>
      </c>
      <c r="AS20" s="58">
        <f t="shared" si="24"/>
        <v>6552.4267528884238</v>
      </c>
      <c r="AU20" s="58">
        <f t="shared" si="25"/>
        <v>4805.4349691214375</v>
      </c>
      <c r="AV20" s="58">
        <f t="shared" si="7"/>
        <v>5377.8945040335557</v>
      </c>
      <c r="AW20" s="58">
        <f t="shared" si="7"/>
        <v>7109.3830268839392</v>
      </c>
      <c r="AY20" s="58">
        <f t="shared" si="26"/>
        <v>5045.7067175775092</v>
      </c>
      <c r="AZ20" s="58">
        <f t="shared" si="8"/>
        <v>5646.7892292352335</v>
      </c>
      <c r="BA20" s="58">
        <f t="shared" si="8"/>
        <v>7464.8521782281368</v>
      </c>
      <c r="BC20" s="58">
        <f t="shared" si="27"/>
        <v>5424.1347213958225</v>
      </c>
      <c r="BD20" s="58">
        <f t="shared" si="9"/>
        <v>6070.2984214278758</v>
      </c>
      <c r="BE20" s="58">
        <f t="shared" si="9"/>
        <v>8024.7160915952463</v>
      </c>
      <c r="BG20" s="58">
        <f t="shared" si="28"/>
        <v>5722.4621310725925</v>
      </c>
      <c r="BH20" s="58">
        <f t="shared" si="10"/>
        <v>6404.1648346064085</v>
      </c>
      <c r="BI20" s="58">
        <f t="shared" si="10"/>
        <v>8466.0754766329846</v>
      </c>
      <c r="BK20" s="58">
        <f t="shared" si="29"/>
        <v>6047.9102143563423</v>
      </c>
      <c r="BL20" s="58">
        <f t="shared" si="11"/>
        <v>6768.3827398920812</v>
      </c>
      <c r="BM20" s="58">
        <f t="shared" si="11"/>
        <v>8947.5584421287003</v>
      </c>
      <c r="BO20" s="58">
        <f t="shared" si="30"/>
        <v>6373.3582976400912</v>
      </c>
      <c r="BP20" s="58">
        <f t="shared" si="12"/>
        <v>7132.6006451777548</v>
      </c>
      <c r="BQ20" s="58">
        <f t="shared" si="12"/>
        <v>9429.0414076244142</v>
      </c>
      <c r="BS20" s="58">
        <f t="shared" si="31"/>
        <v>6628.2926295456955</v>
      </c>
      <c r="BT20" s="58">
        <f t="shared" si="13"/>
        <v>7417.9046709848653</v>
      </c>
      <c r="BU20" s="58">
        <f t="shared" si="13"/>
        <v>9806.2030639293916</v>
      </c>
      <c r="BW20" s="58">
        <f t="shared" si="32"/>
        <v>6893.4243347275233</v>
      </c>
      <c r="BX20" s="58">
        <f t="shared" si="14"/>
        <v>7714.6208578242604</v>
      </c>
      <c r="BY20" s="58">
        <f t="shared" si="14"/>
        <v>10198.451186486567</v>
      </c>
      <c r="CA20" s="38">
        <v>285958.50893117621</v>
      </c>
      <c r="CB20" s="38">
        <v>351330.67907088849</v>
      </c>
      <c r="CC20" s="38">
        <v>413031.23020973976</v>
      </c>
    </row>
    <row r="21" spans="2:81" ht="15.75">
      <c r="B21" s="57" t="s">
        <v>111</v>
      </c>
      <c r="C21" s="58">
        <v>1753</v>
      </c>
      <c r="D21" s="58">
        <v>1843</v>
      </c>
      <c r="E21" s="58">
        <v>2387</v>
      </c>
      <c r="G21" s="58">
        <f t="shared" si="15"/>
        <v>1910.7700000000002</v>
      </c>
      <c r="H21" s="58">
        <f t="shared" si="0"/>
        <v>2008.8700000000001</v>
      </c>
      <c r="I21" s="58">
        <f t="shared" si="0"/>
        <v>2601.8300000000004</v>
      </c>
      <c r="K21" s="58">
        <f t="shared" si="16"/>
        <v>2025.4162000000003</v>
      </c>
      <c r="L21" s="58">
        <f t="shared" si="1"/>
        <v>2129.4022000000004</v>
      </c>
      <c r="M21" s="58">
        <f t="shared" si="1"/>
        <v>2757.9398000000006</v>
      </c>
      <c r="O21" s="58">
        <f t="shared" si="17"/>
        <v>2146.9411720000003</v>
      </c>
      <c r="P21" s="58">
        <f t="shared" si="2"/>
        <v>2257.1663320000007</v>
      </c>
      <c r="Q21" s="58">
        <f t="shared" si="2"/>
        <v>2923.4161880000006</v>
      </c>
      <c r="S21" s="58">
        <f t="shared" si="18"/>
        <v>2254.2882306000006</v>
      </c>
      <c r="T21" s="58">
        <f t="shared" si="3"/>
        <v>2370.024648600001</v>
      </c>
      <c r="U21" s="58">
        <f t="shared" si="3"/>
        <v>3069.5869974000007</v>
      </c>
      <c r="W21" s="58">
        <f t="shared" si="19"/>
        <v>2367.0026421300008</v>
      </c>
      <c r="X21" s="58">
        <f t="shared" si="4"/>
        <v>2488.5258810300011</v>
      </c>
      <c r="Y21" s="58">
        <f t="shared" si="4"/>
        <v>3223.0663472700007</v>
      </c>
      <c r="AA21" s="58">
        <f t="shared" si="20"/>
        <v>2509.0228006578009</v>
      </c>
      <c r="AB21" s="58">
        <f t="shared" si="20"/>
        <v>2637.8374338918011</v>
      </c>
      <c r="AC21" s="58">
        <f t="shared" si="20"/>
        <v>3416.4503281062011</v>
      </c>
      <c r="AE21" s="58">
        <f t="shared" si="21"/>
        <v>2609.3837126841131</v>
      </c>
      <c r="AF21" s="58">
        <f t="shared" si="5"/>
        <v>2743.350931247473</v>
      </c>
      <c r="AG21" s="58">
        <f t="shared" si="5"/>
        <v>3553.1083412304492</v>
      </c>
      <c r="AI21" s="58">
        <f t="shared" si="22"/>
        <v>2805.0874911354213</v>
      </c>
      <c r="AJ21" s="58">
        <f t="shared" si="22"/>
        <v>2949.1022510910334</v>
      </c>
      <c r="AK21" s="58">
        <f t="shared" si="22"/>
        <v>3819.5914668227329</v>
      </c>
      <c r="AM21" s="58">
        <f t="shared" si="23"/>
        <v>3015.4690529705776</v>
      </c>
      <c r="AN21" s="58">
        <f t="shared" si="6"/>
        <v>3170.2849199228608</v>
      </c>
      <c r="AO21" s="58">
        <f t="shared" si="6"/>
        <v>4106.0608268344376</v>
      </c>
      <c r="AQ21" s="58">
        <f t="shared" si="24"/>
        <v>3256.7065772082242</v>
      </c>
      <c r="AR21" s="58">
        <f t="shared" si="24"/>
        <v>3423.9077135166899</v>
      </c>
      <c r="AS21" s="58">
        <f t="shared" si="24"/>
        <v>4434.5456929811926</v>
      </c>
      <c r="AU21" s="58">
        <f t="shared" si="25"/>
        <v>3533.5266362709231</v>
      </c>
      <c r="AV21" s="58">
        <f t="shared" si="7"/>
        <v>3714.9398691656083</v>
      </c>
      <c r="AW21" s="58">
        <f t="shared" si="7"/>
        <v>4811.4820768845939</v>
      </c>
      <c r="AY21" s="58">
        <f t="shared" si="26"/>
        <v>3710.2029680844694</v>
      </c>
      <c r="AZ21" s="58">
        <f t="shared" si="8"/>
        <v>3900.6868626238888</v>
      </c>
      <c r="BA21" s="58">
        <f t="shared" si="8"/>
        <v>5052.0561807288241</v>
      </c>
      <c r="BC21" s="58">
        <f t="shared" si="27"/>
        <v>3988.4681906908045</v>
      </c>
      <c r="BD21" s="58">
        <f t="shared" si="9"/>
        <v>4193.2383773206802</v>
      </c>
      <c r="BE21" s="58">
        <f t="shared" si="9"/>
        <v>5430.9603942834856</v>
      </c>
      <c r="BG21" s="58">
        <f t="shared" si="28"/>
        <v>4207.8339411787983</v>
      </c>
      <c r="BH21" s="58">
        <f t="shared" si="10"/>
        <v>4423.8664880733177</v>
      </c>
      <c r="BI21" s="58">
        <f t="shared" si="10"/>
        <v>5729.6632159690771</v>
      </c>
      <c r="BK21" s="58">
        <f t="shared" si="29"/>
        <v>4447.1420326202469</v>
      </c>
      <c r="BL21" s="58">
        <f t="shared" si="11"/>
        <v>4675.4607907125583</v>
      </c>
      <c r="BM21" s="58">
        <f t="shared" si="11"/>
        <v>6055.5208396260859</v>
      </c>
      <c r="BO21" s="58">
        <f t="shared" si="30"/>
        <v>4686.4501240616955</v>
      </c>
      <c r="BP21" s="58">
        <f t="shared" si="12"/>
        <v>4927.0550933517998</v>
      </c>
      <c r="BQ21" s="58">
        <f t="shared" si="12"/>
        <v>6381.3784632830957</v>
      </c>
      <c r="BS21" s="58">
        <f t="shared" si="31"/>
        <v>4873.9081290241638</v>
      </c>
      <c r="BT21" s="58">
        <f t="shared" si="13"/>
        <v>5124.137297085872</v>
      </c>
      <c r="BU21" s="58">
        <f t="shared" si="13"/>
        <v>6636.6336018144193</v>
      </c>
      <c r="BW21" s="58">
        <f t="shared" si="32"/>
        <v>5068.8644541851309</v>
      </c>
      <c r="BX21" s="58">
        <f t="shared" si="14"/>
        <v>5329.1027889693069</v>
      </c>
      <c r="BY21" s="58">
        <f t="shared" si="14"/>
        <v>6902.0989458869963</v>
      </c>
      <c r="CA21" s="38">
        <v>206097.83424494503</v>
      </c>
      <c r="CB21" s="38">
        <v>242690.46608957998</v>
      </c>
      <c r="CC21" s="38">
        <v>280624.82776851766</v>
      </c>
    </row>
    <row r="22" spans="2:81" ht="15.75">
      <c r="B22" s="57" t="s">
        <v>112</v>
      </c>
      <c r="C22" s="58">
        <v>3023</v>
      </c>
      <c r="D22" s="58">
        <v>3475</v>
      </c>
      <c r="E22" s="58">
        <v>4523</v>
      </c>
      <c r="G22" s="58">
        <f t="shared" si="15"/>
        <v>3295.07</v>
      </c>
      <c r="H22" s="58">
        <f t="shared" si="0"/>
        <v>3787.7500000000005</v>
      </c>
      <c r="I22" s="58">
        <f t="shared" si="0"/>
        <v>4930.0700000000006</v>
      </c>
      <c r="K22" s="58">
        <f t="shared" si="16"/>
        <v>3492.7742000000003</v>
      </c>
      <c r="L22" s="58">
        <f t="shared" si="1"/>
        <v>4015.0150000000008</v>
      </c>
      <c r="M22" s="58">
        <f t="shared" si="1"/>
        <v>5225.8742000000011</v>
      </c>
      <c r="O22" s="58">
        <f t="shared" si="17"/>
        <v>3702.3406520000003</v>
      </c>
      <c r="P22" s="58">
        <f t="shared" si="2"/>
        <v>4255.9159000000009</v>
      </c>
      <c r="Q22" s="58">
        <f t="shared" si="2"/>
        <v>5539.426652000001</v>
      </c>
      <c r="S22" s="58">
        <f t="shared" si="18"/>
        <v>3887.4576846000004</v>
      </c>
      <c r="T22" s="58">
        <f t="shared" si="3"/>
        <v>4468.7116950000009</v>
      </c>
      <c r="U22" s="58">
        <f t="shared" si="3"/>
        <v>5816.3979846000011</v>
      </c>
      <c r="W22" s="58">
        <f t="shared" si="19"/>
        <v>4081.8305688300006</v>
      </c>
      <c r="X22" s="58">
        <f t="shared" si="4"/>
        <v>4692.147279750001</v>
      </c>
      <c r="Y22" s="58">
        <f t="shared" si="4"/>
        <v>6107.2178838300015</v>
      </c>
      <c r="AA22" s="58">
        <f t="shared" si="20"/>
        <v>4326.740402959801</v>
      </c>
      <c r="AB22" s="58">
        <f t="shared" si="20"/>
        <v>4973.6761165350017</v>
      </c>
      <c r="AC22" s="58">
        <f t="shared" si="20"/>
        <v>6473.6509568598021</v>
      </c>
      <c r="AE22" s="58">
        <f t="shared" si="21"/>
        <v>4499.8100190781934</v>
      </c>
      <c r="AF22" s="58">
        <f t="shared" si="5"/>
        <v>5172.6231611964022</v>
      </c>
      <c r="AG22" s="58">
        <f t="shared" si="5"/>
        <v>6732.596995134194</v>
      </c>
      <c r="AI22" s="58">
        <f t="shared" si="22"/>
        <v>4837.2957705090575</v>
      </c>
      <c r="AJ22" s="58">
        <f t="shared" si="22"/>
        <v>5560.5698982861322</v>
      </c>
      <c r="AK22" s="58">
        <f t="shared" si="22"/>
        <v>7237.5417697692583</v>
      </c>
      <c r="AM22" s="58">
        <f t="shared" si="23"/>
        <v>5200.0929532972368</v>
      </c>
      <c r="AN22" s="58">
        <f t="shared" si="6"/>
        <v>5977.6126406575922</v>
      </c>
      <c r="AO22" s="58">
        <f t="shared" si="6"/>
        <v>7780.3574025019525</v>
      </c>
      <c r="AQ22" s="58">
        <f t="shared" si="24"/>
        <v>5616.1003895610165</v>
      </c>
      <c r="AR22" s="58">
        <f t="shared" si="24"/>
        <v>6455.8216519101998</v>
      </c>
      <c r="AS22" s="58">
        <f t="shared" si="24"/>
        <v>8402.7859947021097</v>
      </c>
      <c r="AU22" s="58">
        <f t="shared" si="25"/>
        <v>6093.4689226737028</v>
      </c>
      <c r="AV22" s="58">
        <f t="shared" si="7"/>
        <v>7004.5664923225668</v>
      </c>
      <c r="AW22" s="58">
        <f t="shared" si="7"/>
        <v>9117.0228042517883</v>
      </c>
      <c r="AY22" s="58">
        <f t="shared" si="26"/>
        <v>6398.1423688073883</v>
      </c>
      <c r="AZ22" s="58">
        <f t="shared" si="8"/>
        <v>7354.7948169386955</v>
      </c>
      <c r="BA22" s="58">
        <f t="shared" si="8"/>
        <v>9572.8739444643779</v>
      </c>
      <c r="BC22" s="58">
        <f t="shared" si="27"/>
        <v>6878.0030464679421</v>
      </c>
      <c r="BD22" s="58">
        <f t="shared" si="9"/>
        <v>7906.4044282090972</v>
      </c>
      <c r="BE22" s="58">
        <f t="shared" si="9"/>
        <v>10290.839490299206</v>
      </c>
      <c r="BG22" s="58">
        <f t="shared" si="28"/>
        <v>7256.293214023679</v>
      </c>
      <c r="BH22" s="58">
        <f t="shared" si="10"/>
        <v>8341.2566717605969</v>
      </c>
      <c r="BI22" s="58">
        <f t="shared" si="10"/>
        <v>10856.835662265661</v>
      </c>
      <c r="BK22" s="58">
        <f t="shared" si="29"/>
        <v>7668.9733968117553</v>
      </c>
      <c r="BL22" s="58">
        <f t="shared" si="11"/>
        <v>8815.6409374531431</v>
      </c>
      <c r="BM22" s="58">
        <f t="shared" si="11"/>
        <v>11474.286031683614</v>
      </c>
      <c r="BO22" s="58">
        <f t="shared" si="30"/>
        <v>8081.6535795998325</v>
      </c>
      <c r="BP22" s="58">
        <f t="shared" si="12"/>
        <v>9290.0252031456894</v>
      </c>
      <c r="BQ22" s="58">
        <f t="shared" si="12"/>
        <v>12091.736401101567</v>
      </c>
      <c r="BS22" s="58">
        <f t="shared" si="31"/>
        <v>8404.9197227838267</v>
      </c>
      <c r="BT22" s="58">
        <f t="shared" si="13"/>
        <v>9661.6262112715176</v>
      </c>
      <c r="BU22" s="58">
        <f t="shared" si="13"/>
        <v>12575.40585714563</v>
      </c>
      <c r="BW22" s="58">
        <f t="shared" si="32"/>
        <v>8741.1165116951797</v>
      </c>
      <c r="BX22" s="58">
        <f t="shared" si="14"/>
        <v>10048.091259722378</v>
      </c>
      <c r="BY22" s="58">
        <f t="shared" si="14"/>
        <v>13078.422091431456</v>
      </c>
      <c r="CA22" s="38">
        <v>357123.08883036929</v>
      </c>
      <c r="CB22" s="38">
        <v>457571.45112500736</v>
      </c>
      <c r="CC22" s="38">
        <v>529140.90925993712</v>
      </c>
    </row>
    <row r="23" spans="2:81" ht="15.75">
      <c r="B23" s="57" t="s">
        <v>113</v>
      </c>
      <c r="C23" s="58">
        <v>2543</v>
      </c>
      <c r="D23" s="58">
        <v>2887</v>
      </c>
      <c r="E23" s="58">
        <v>3710</v>
      </c>
      <c r="G23" s="58">
        <f t="shared" si="15"/>
        <v>2771.8700000000003</v>
      </c>
      <c r="H23" s="58">
        <f t="shared" si="0"/>
        <v>3146.8300000000004</v>
      </c>
      <c r="I23" s="58">
        <f t="shared" si="0"/>
        <v>4043.9</v>
      </c>
      <c r="K23" s="58">
        <f t="shared" si="16"/>
        <v>2938.1822000000006</v>
      </c>
      <c r="L23" s="58">
        <f t="shared" si="1"/>
        <v>3335.6398000000004</v>
      </c>
      <c r="M23" s="58">
        <f t="shared" si="1"/>
        <v>4286.5340000000006</v>
      </c>
      <c r="O23" s="58">
        <f t="shared" si="17"/>
        <v>3114.473132000001</v>
      </c>
      <c r="P23" s="58">
        <f t="shared" si="2"/>
        <v>3535.7781880000007</v>
      </c>
      <c r="Q23" s="58">
        <f t="shared" si="2"/>
        <v>4543.7260400000005</v>
      </c>
      <c r="S23" s="58">
        <f t="shared" si="18"/>
        <v>3270.1967886000011</v>
      </c>
      <c r="T23" s="58">
        <f t="shared" si="3"/>
        <v>3712.5670974000009</v>
      </c>
      <c r="U23" s="58">
        <f t="shared" si="3"/>
        <v>4770.9123420000005</v>
      </c>
      <c r="W23" s="58">
        <f t="shared" si="19"/>
        <v>3433.7066280300014</v>
      </c>
      <c r="X23" s="58">
        <f t="shared" si="4"/>
        <v>3898.1954522700012</v>
      </c>
      <c r="Y23" s="58">
        <f t="shared" si="4"/>
        <v>5009.4579591000011</v>
      </c>
      <c r="AA23" s="58">
        <f t="shared" si="20"/>
        <v>3639.7290257118016</v>
      </c>
      <c r="AB23" s="58">
        <f t="shared" si="20"/>
        <v>4132.0871794062014</v>
      </c>
      <c r="AC23" s="58">
        <f t="shared" si="20"/>
        <v>5310.0254366460013</v>
      </c>
      <c r="AE23" s="58">
        <f t="shared" si="21"/>
        <v>3785.3181867402736</v>
      </c>
      <c r="AF23" s="58">
        <f t="shared" si="5"/>
        <v>4297.3706665824493</v>
      </c>
      <c r="AG23" s="58">
        <f t="shared" si="5"/>
        <v>5522.4264541118418</v>
      </c>
      <c r="AI23" s="58">
        <f t="shared" si="22"/>
        <v>4069.217050745794</v>
      </c>
      <c r="AJ23" s="58">
        <f t="shared" si="22"/>
        <v>4619.6734665761333</v>
      </c>
      <c r="AK23" s="58">
        <f t="shared" si="22"/>
        <v>5936.6084381702294</v>
      </c>
      <c r="AM23" s="58">
        <f t="shared" si="23"/>
        <v>4374.4083295517285</v>
      </c>
      <c r="AN23" s="58">
        <f t="shared" si="6"/>
        <v>4966.1489765693432</v>
      </c>
      <c r="AO23" s="58">
        <f t="shared" si="6"/>
        <v>6381.8540710329962</v>
      </c>
      <c r="AQ23" s="58">
        <f t="shared" si="24"/>
        <v>4724.3609959158666</v>
      </c>
      <c r="AR23" s="58">
        <f t="shared" si="24"/>
        <v>5363.4408946948906</v>
      </c>
      <c r="AS23" s="58">
        <f t="shared" si="24"/>
        <v>6892.4023967156363</v>
      </c>
      <c r="AU23" s="58">
        <f t="shared" si="25"/>
        <v>5125.9316805687149</v>
      </c>
      <c r="AV23" s="58">
        <f t="shared" si="7"/>
        <v>5819.333370743956</v>
      </c>
      <c r="AW23" s="58">
        <f t="shared" si="7"/>
        <v>7478.2566004364653</v>
      </c>
      <c r="AY23" s="58">
        <f t="shared" si="26"/>
        <v>5382.2282645971509</v>
      </c>
      <c r="AZ23" s="58">
        <f t="shared" si="8"/>
        <v>6110.3000392811537</v>
      </c>
      <c r="BA23" s="58">
        <f t="shared" si="8"/>
        <v>7852.1694304582888</v>
      </c>
      <c r="BC23" s="58">
        <f t="shared" si="27"/>
        <v>5785.8953844419366</v>
      </c>
      <c r="BD23" s="58">
        <f t="shared" si="9"/>
        <v>6568.5725422272399</v>
      </c>
      <c r="BE23" s="58">
        <f t="shared" si="9"/>
        <v>8441.0821377426601</v>
      </c>
      <c r="BG23" s="58">
        <f t="shared" si="28"/>
        <v>6104.1196305862431</v>
      </c>
      <c r="BH23" s="58">
        <f t="shared" si="10"/>
        <v>6929.8440320497375</v>
      </c>
      <c r="BI23" s="58">
        <f t="shared" si="10"/>
        <v>8905.3416553185052</v>
      </c>
      <c r="BK23" s="58">
        <f t="shared" si="29"/>
        <v>6451.2733536527594</v>
      </c>
      <c r="BL23" s="58">
        <f t="shared" si="11"/>
        <v>7323.9583845833722</v>
      </c>
      <c r="BM23" s="58">
        <f t="shared" si="11"/>
        <v>9411.8065835830657</v>
      </c>
      <c r="BO23" s="58">
        <f t="shared" si="30"/>
        <v>6798.4270767192756</v>
      </c>
      <c r="BP23" s="58">
        <f t="shared" si="12"/>
        <v>7718.0727371170069</v>
      </c>
      <c r="BQ23" s="58">
        <f t="shared" si="12"/>
        <v>9918.2715118476262</v>
      </c>
      <c r="BS23" s="58">
        <f t="shared" si="31"/>
        <v>7070.3641597880469</v>
      </c>
      <c r="BT23" s="58">
        <f t="shared" si="13"/>
        <v>8026.7956466016876</v>
      </c>
      <c r="BU23" s="58">
        <f t="shared" si="13"/>
        <v>10315.002372321531</v>
      </c>
      <c r="BW23" s="58">
        <f t="shared" si="32"/>
        <v>7353.1787261795689</v>
      </c>
      <c r="BX23" s="58">
        <f t="shared" si="14"/>
        <v>8347.8674724657558</v>
      </c>
      <c r="BY23" s="58">
        <f t="shared" si="14"/>
        <v>10727.602467214392</v>
      </c>
      <c r="CA23" s="38">
        <v>298961.80217066198</v>
      </c>
      <c r="CB23" s="38">
        <v>380156.7863859224</v>
      </c>
      <c r="CC23" s="38">
        <v>431364.02032431064</v>
      </c>
    </row>
    <row r="24" spans="2:81" ht="15.75">
      <c r="B24" s="57" t="s">
        <v>114</v>
      </c>
      <c r="C24" s="58">
        <v>3767</v>
      </c>
      <c r="D24" s="58">
        <v>4240</v>
      </c>
      <c r="E24" s="58">
        <v>5491</v>
      </c>
      <c r="G24" s="58">
        <f t="shared" si="15"/>
        <v>4106.0300000000007</v>
      </c>
      <c r="H24" s="58">
        <f t="shared" si="0"/>
        <v>4621.6000000000004</v>
      </c>
      <c r="I24" s="58">
        <f t="shared" si="0"/>
        <v>5985.1900000000005</v>
      </c>
      <c r="K24" s="58">
        <f t="shared" si="16"/>
        <v>4352.3918000000012</v>
      </c>
      <c r="L24" s="58">
        <f t="shared" si="1"/>
        <v>4898.8960000000006</v>
      </c>
      <c r="M24" s="58">
        <f t="shared" si="1"/>
        <v>6344.3014000000012</v>
      </c>
      <c r="O24" s="58">
        <f t="shared" si="17"/>
        <v>4613.5353080000014</v>
      </c>
      <c r="P24" s="58">
        <f t="shared" si="2"/>
        <v>5192.8297600000005</v>
      </c>
      <c r="Q24" s="58">
        <f t="shared" si="2"/>
        <v>6724.9594840000018</v>
      </c>
      <c r="S24" s="58">
        <f t="shared" si="18"/>
        <v>4844.2120734000018</v>
      </c>
      <c r="T24" s="58">
        <f t="shared" si="3"/>
        <v>5452.4712480000007</v>
      </c>
      <c r="U24" s="58">
        <f t="shared" si="3"/>
        <v>7061.2074582000023</v>
      </c>
      <c r="W24" s="58">
        <f t="shared" si="19"/>
        <v>5086.4226770700025</v>
      </c>
      <c r="X24" s="58">
        <f t="shared" si="4"/>
        <v>5725.0948104000008</v>
      </c>
      <c r="Y24" s="58">
        <f t="shared" si="4"/>
        <v>7414.2678311100026</v>
      </c>
      <c r="AA24" s="58">
        <f t="shared" si="20"/>
        <v>5391.6080376942027</v>
      </c>
      <c r="AB24" s="58">
        <f t="shared" si="20"/>
        <v>6068.6004990240008</v>
      </c>
      <c r="AC24" s="58">
        <f t="shared" si="20"/>
        <v>7859.1239009766032</v>
      </c>
      <c r="AE24" s="58">
        <f t="shared" si="21"/>
        <v>5607.2723592019711</v>
      </c>
      <c r="AF24" s="58">
        <f t="shared" si="5"/>
        <v>6311.3445189849608</v>
      </c>
      <c r="AG24" s="58">
        <f t="shared" si="5"/>
        <v>8173.4888570156672</v>
      </c>
      <c r="AI24" s="58">
        <f t="shared" si="22"/>
        <v>6027.8177861421191</v>
      </c>
      <c r="AJ24" s="58">
        <f t="shared" si="22"/>
        <v>6784.6953579088322</v>
      </c>
      <c r="AK24" s="58">
        <f t="shared" si="22"/>
        <v>8786.5005212918422</v>
      </c>
      <c r="AM24" s="58">
        <f t="shared" si="23"/>
        <v>6479.9041201027776</v>
      </c>
      <c r="AN24" s="58">
        <f t="shared" si="6"/>
        <v>7293.5475097519939</v>
      </c>
      <c r="AO24" s="58">
        <f t="shared" si="6"/>
        <v>9445.4880603887304</v>
      </c>
      <c r="AQ24" s="58">
        <f t="shared" si="24"/>
        <v>6998.2964497110006</v>
      </c>
      <c r="AR24" s="58">
        <f t="shared" si="24"/>
        <v>7877.0313105321538</v>
      </c>
      <c r="AS24" s="58">
        <f t="shared" si="24"/>
        <v>10201.12710521983</v>
      </c>
      <c r="AU24" s="58">
        <f t="shared" si="25"/>
        <v>7593.1516479364354</v>
      </c>
      <c r="AV24" s="58">
        <f t="shared" si="7"/>
        <v>8546.5789719273871</v>
      </c>
      <c r="AW24" s="58">
        <f t="shared" si="7"/>
        <v>11068.222909163514</v>
      </c>
      <c r="AY24" s="58">
        <f t="shared" si="26"/>
        <v>7972.8092303332578</v>
      </c>
      <c r="AZ24" s="58">
        <f t="shared" si="8"/>
        <v>8973.9079205237576</v>
      </c>
      <c r="BA24" s="58">
        <f t="shared" si="8"/>
        <v>11621.634054621691</v>
      </c>
      <c r="BC24" s="58">
        <f t="shared" si="27"/>
        <v>8570.7699226082514</v>
      </c>
      <c r="BD24" s="58">
        <f t="shared" si="9"/>
        <v>9646.9510145630393</v>
      </c>
      <c r="BE24" s="58">
        <f t="shared" si="9"/>
        <v>12493.256608718317</v>
      </c>
      <c r="BG24" s="58">
        <f t="shared" si="28"/>
        <v>9042.1622683517053</v>
      </c>
      <c r="BH24" s="58">
        <f t="shared" si="10"/>
        <v>10177.533320364006</v>
      </c>
      <c r="BI24" s="58">
        <f t="shared" si="10"/>
        <v>13180.385722197823</v>
      </c>
      <c r="BK24" s="58">
        <f t="shared" si="29"/>
        <v>9556.4084637081996</v>
      </c>
      <c r="BL24" s="58">
        <f t="shared" si="11"/>
        <v>10756.350381237789</v>
      </c>
      <c r="BM24" s="58">
        <f t="shared" si="11"/>
        <v>13929.981118720923</v>
      </c>
      <c r="BO24" s="58">
        <f t="shared" si="30"/>
        <v>10070.654659064696</v>
      </c>
      <c r="BP24" s="58">
        <f t="shared" si="12"/>
        <v>11335.167442111571</v>
      </c>
      <c r="BQ24" s="58">
        <f t="shared" si="12"/>
        <v>14679.576515244024</v>
      </c>
      <c r="BS24" s="58">
        <f t="shared" si="31"/>
        <v>10473.480845427284</v>
      </c>
      <c r="BT24" s="58">
        <f t="shared" si="13"/>
        <v>11788.574139796034</v>
      </c>
      <c r="BU24" s="58">
        <f t="shared" si="13"/>
        <v>15266.759575853785</v>
      </c>
      <c r="BW24" s="58">
        <f t="shared" si="32"/>
        <v>10892.420079244375</v>
      </c>
      <c r="BX24" s="58">
        <f t="shared" si="14"/>
        <v>12260.117105387875</v>
      </c>
      <c r="BY24" s="58">
        <f t="shared" si="14"/>
        <v>15877.429958887937</v>
      </c>
      <c r="CA24" s="38">
        <v>458743.91101599444</v>
      </c>
      <c r="CB24" s="38">
        <v>600724.82733185717</v>
      </c>
      <c r="CC24" s="38">
        <v>645312.04304234427</v>
      </c>
    </row>
    <row r="25" spans="2:81" ht="15.75">
      <c r="B25" s="57" t="s">
        <v>115</v>
      </c>
      <c r="C25" s="58">
        <v>2770</v>
      </c>
      <c r="D25" s="58">
        <v>3139</v>
      </c>
      <c r="E25" s="58">
        <v>4040</v>
      </c>
      <c r="G25" s="58">
        <f t="shared" si="15"/>
        <v>3019.3</v>
      </c>
      <c r="H25" s="58">
        <f t="shared" si="0"/>
        <v>3421.51</v>
      </c>
      <c r="I25" s="58">
        <f t="shared" si="0"/>
        <v>4403.6000000000004</v>
      </c>
      <c r="K25" s="58">
        <f t="shared" si="16"/>
        <v>3200.4580000000005</v>
      </c>
      <c r="L25" s="58">
        <f t="shared" si="1"/>
        <v>3626.8006000000005</v>
      </c>
      <c r="M25" s="58">
        <f t="shared" si="1"/>
        <v>4667.8160000000007</v>
      </c>
      <c r="O25" s="58">
        <f t="shared" si="17"/>
        <v>3392.4854800000007</v>
      </c>
      <c r="P25" s="58">
        <f t="shared" si="2"/>
        <v>3844.4086360000006</v>
      </c>
      <c r="Q25" s="58">
        <f t="shared" si="2"/>
        <v>4947.8849600000012</v>
      </c>
      <c r="S25" s="58">
        <f t="shared" si="18"/>
        <v>3562.109754000001</v>
      </c>
      <c r="T25" s="58">
        <f t="shared" si="3"/>
        <v>4036.6290678000009</v>
      </c>
      <c r="U25" s="58">
        <f t="shared" si="3"/>
        <v>5195.2792080000017</v>
      </c>
      <c r="W25" s="58">
        <f t="shared" si="19"/>
        <v>3740.2152417000011</v>
      </c>
      <c r="X25" s="58">
        <f t="shared" si="4"/>
        <v>4238.4605211900016</v>
      </c>
      <c r="Y25" s="58">
        <f t="shared" si="4"/>
        <v>5455.0431684000023</v>
      </c>
      <c r="AA25" s="58">
        <f t="shared" si="20"/>
        <v>3964.6281562020013</v>
      </c>
      <c r="AB25" s="58">
        <f t="shared" si="20"/>
        <v>4492.7681524614018</v>
      </c>
      <c r="AC25" s="58">
        <f t="shared" si="20"/>
        <v>5782.3457585040023</v>
      </c>
      <c r="AE25" s="58">
        <f t="shared" si="21"/>
        <v>4123.2132824500814</v>
      </c>
      <c r="AF25" s="58">
        <f t="shared" si="5"/>
        <v>4672.4788785598575</v>
      </c>
      <c r="AG25" s="58">
        <f t="shared" si="5"/>
        <v>6013.639588844163</v>
      </c>
      <c r="AI25" s="58">
        <f t="shared" si="22"/>
        <v>4432.454278633837</v>
      </c>
      <c r="AJ25" s="58">
        <f t="shared" si="22"/>
        <v>5022.9147944518463</v>
      </c>
      <c r="AK25" s="58">
        <f t="shared" si="22"/>
        <v>6464.6625580074751</v>
      </c>
      <c r="AM25" s="58">
        <f t="shared" si="23"/>
        <v>4764.8883495313748</v>
      </c>
      <c r="AN25" s="58">
        <f t="shared" si="6"/>
        <v>5399.6334040357342</v>
      </c>
      <c r="AO25" s="58">
        <f t="shared" si="6"/>
        <v>6949.5122498580358</v>
      </c>
      <c r="AQ25" s="58">
        <f t="shared" si="24"/>
        <v>5146.0794174938856</v>
      </c>
      <c r="AR25" s="58">
        <f t="shared" si="24"/>
        <v>5831.6040763585934</v>
      </c>
      <c r="AS25" s="58">
        <f t="shared" si="24"/>
        <v>7505.4732298466788</v>
      </c>
      <c r="AU25" s="58">
        <f t="shared" si="25"/>
        <v>5583.4961679808657</v>
      </c>
      <c r="AV25" s="58">
        <f t="shared" si="7"/>
        <v>6327.2904228490734</v>
      </c>
      <c r="AW25" s="58">
        <f t="shared" si="7"/>
        <v>8143.4384543836459</v>
      </c>
      <c r="AY25" s="58">
        <f t="shared" si="26"/>
        <v>5862.670976379909</v>
      </c>
      <c r="AZ25" s="58">
        <f t="shared" si="8"/>
        <v>6643.654943991527</v>
      </c>
      <c r="BA25" s="58">
        <f t="shared" si="8"/>
        <v>8550.6103771028284</v>
      </c>
      <c r="BC25" s="58">
        <f t="shared" si="27"/>
        <v>6302.3712996084023</v>
      </c>
      <c r="BD25" s="58">
        <f t="shared" si="9"/>
        <v>7141.9290647908911</v>
      </c>
      <c r="BE25" s="58">
        <f t="shared" si="9"/>
        <v>9191.9061553855408</v>
      </c>
      <c r="BG25" s="58">
        <f t="shared" si="28"/>
        <v>6649.0017210868637</v>
      </c>
      <c r="BH25" s="58">
        <f t="shared" si="10"/>
        <v>7534.7351633543894</v>
      </c>
      <c r="BI25" s="58">
        <f t="shared" si="10"/>
        <v>9697.4609939317452</v>
      </c>
      <c r="BK25" s="58">
        <f t="shared" si="29"/>
        <v>7027.1439990633689</v>
      </c>
      <c r="BL25" s="58">
        <f t="shared" si="11"/>
        <v>7963.2509072418434</v>
      </c>
      <c r="BM25" s="58">
        <f t="shared" si="11"/>
        <v>10248.975363254878</v>
      </c>
      <c r="BO25" s="58">
        <f t="shared" si="30"/>
        <v>7405.2862770398733</v>
      </c>
      <c r="BP25" s="58">
        <f t="shared" si="12"/>
        <v>8391.7666511292973</v>
      </c>
      <c r="BQ25" s="58">
        <f t="shared" si="12"/>
        <v>10800.489732578011</v>
      </c>
      <c r="BS25" s="58">
        <f t="shared" si="31"/>
        <v>7701.4977281214688</v>
      </c>
      <c r="BT25" s="58">
        <f t="shared" si="13"/>
        <v>8727.4373171744701</v>
      </c>
      <c r="BU25" s="58">
        <f t="shared" si="13"/>
        <v>11232.509321881133</v>
      </c>
      <c r="BW25" s="58">
        <f t="shared" si="32"/>
        <v>8009.5576372463274</v>
      </c>
      <c r="BX25" s="58">
        <f t="shared" si="14"/>
        <v>9076.5348098614486</v>
      </c>
      <c r="BY25" s="58">
        <f t="shared" si="14"/>
        <v>11681.809694756379</v>
      </c>
      <c r="CA25" s="38">
        <v>325674.4234172451</v>
      </c>
      <c r="CB25" s="38">
        <v>413334.10592505749</v>
      </c>
      <c r="CC25" s="38">
        <v>474972.36134335282</v>
      </c>
    </row>
    <row r="26" spans="2:81" ht="15.75">
      <c r="B26" s="57" t="s">
        <v>116</v>
      </c>
      <c r="C26" s="58">
        <v>4098</v>
      </c>
      <c r="D26" s="58">
        <v>4638</v>
      </c>
      <c r="E26" s="58">
        <v>5979</v>
      </c>
      <c r="G26" s="58">
        <f t="shared" si="15"/>
        <v>4466.8200000000006</v>
      </c>
      <c r="H26" s="58">
        <f t="shared" si="0"/>
        <v>5055.42</v>
      </c>
      <c r="I26" s="58">
        <f t="shared" si="0"/>
        <v>6517.1100000000006</v>
      </c>
      <c r="K26" s="58">
        <f t="shared" si="16"/>
        <v>4734.829200000001</v>
      </c>
      <c r="L26" s="58">
        <f t="shared" si="1"/>
        <v>5358.7452000000003</v>
      </c>
      <c r="M26" s="58">
        <f t="shared" si="1"/>
        <v>6908.1366000000007</v>
      </c>
      <c r="O26" s="58">
        <f t="shared" si="17"/>
        <v>5018.9189520000009</v>
      </c>
      <c r="P26" s="58">
        <f t="shared" si="2"/>
        <v>5680.2699120000007</v>
      </c>
      <c r="Q26" s="58">
        <f t="shared" si="2"/>
        <v>7322.624796000001</v>
      </c>
      <c r="S26" s="58">
        <f t="shared" si="18"/>
        <v>5269.8648996000011</v>
      </c>
      <c r="T26" s="58">
        <f t="shared" si="3"/>
        <v>5964.2834076000008</v>
      </c>
      <c r="U26" s="58">
        <f t="shared" si="3"/>
        <v>7688.756035800001</v>
      </c>
      <c r="W26" s="58">
        <f t="shared" si="19"/>
        <v>5533.358144580001</v>
      </c>
      <c r="X26" s="58">
        <f t="shared" si="4"/>
        <v>6262.4975779800016</v>
      </c>
      <c r="Y26" s="58">
        <f t="shared" si="4"/>
        <v>8073.1938375900017</v>
      </c>
      <c r="AA26" s="58">
        <f t="shared" si="20"/>
        <v>5865.3596332548013</v>
      </c>
      <c r="AB26" s="58">
        <f t="shared" si="20"/>
        <v>6638.2474326588017</v>
      </c>
      <c r="AC26" s="58">
        <f t="shared" si="20"/>
        <v>8557.5854678454016</v>
      </c>
      <c r="AE26" s="58">
        <f t="shared" si="21"/>
        <v>6099.9740185849932</v>
      </c>
      <c r="AF26" s="58">
        <f t="shared" si="5"/>
        <v>6903.7773299651544</v>
      </c>
      <c r="AG26" s="58">
        <f t="shared" si="5"/>
        <v>8899.888886559218</v>
      </c>
      <c r="AI26" s="58">
        <f t="shared" si="22"/>
        <v>6557.4720699788677</v>
      </c>
      <c r="AJ26" s="58">
        <f t="shared" si="22"/>
        <v>7421.5606297125405</v>
      </c>
      <c r="AK26" s="58">
        <f t="shared" si="22"/>
        <v>9567.3805530511581</v>
      </c>
      <c r="AM26" s="58">
        <f t="shared" si="23"/>
        <v>7049.2824752272827</v>
      </c>
      <c r="AN26" s="58">
        <f t="shared" si="6"/>
        <v>7978.1776769409807</v>
      </c>
      <c r="AO26" s="58">
        <f t="shared" si="6"/>
        <v>10284.934094529994</v>
      </c>
      <c r="AQ26" s="58">
        <f t="shared" si="24"/>
        <v>7613.2250732454659</v>
      </c>
      <c r="AR26" s="58">
        <f t="shared" si="24"/>
        <v>8616.4318910962593</v>
      </c>
      <c r="AS26" s="58">
        <f t="shared" si="24"/>
        <v>11107.728822092395</v>
      </c>
      <c r="AU26" s="58">
        <f t="shared" si="25"/>
        <v>8260.3492044713294</v>
      </c>
      <c r="AV26" s="58">
        <f t="shared" si="7"/>
        <v>9348.828601839441</v>
      </c>
      <c r="AW26" s="58">
        <f t="shared" si="7"/>
        <v>12051.885771970248</v>
      </c>
      <c r="AY26" s="58">
        <f t="shared" si="26"/>
        <v>8673.3666646948968</v>
      </c>
      <c r="AZ26" s="58">
        <f t="shared" si="8"/>
        <v>9816.2700319314135</v>
      </c>
      <c r="BA26" s="58">
        <f t="shared" si="8"/>
        <v>12654.480060568761</v>
      </c>
      <c r="BC26" s="58">
        <f t="shared" si="27"/>
        <v>9323.8691645470135</v>
      </c>
      <c r="BD26" s="58">
        <f t="shared" si="9"/>
        <v>10552.49028432627</v>
      </c>
      <c r="BE26" s="58">
        <f t="shared" si="9"/>
        <v>13603.566065111418</v>
      </c>
      <c r="BG26" s="58">
        <f t="shared" si="28"/>
        <v>9836.6819685970986</v>
      </c>
      <c r="BH26" s="58">
        <f t="shared" si="10"/>
        <v>11132.877249964215</v>
      </c>
      <c r="BI26" s="58">
        <f t="shared" si="10"/>
        <v>14351.762198692544</v>
      </c>
      <c r="BK26" s="58">
        <f t="shared" si="29"/>
        <v>10396.114118469921</v>
      </c>
      <c r="BL26" s="58">
        <f t="shared" si="11"/>
        <v>11766.026667023791</v>
      </c>
      <c r="BM26" s="58">
        <f t="shared" si="11"/>
        <v>15167.976162599231</v>
      </c>
      <c r="BO26" s="58">
        <f t="shared" si="30"/>
        <v>10955.546268342741</v>
      </c>
      <c r="BP26" s="58">
        <f t="shared" si="12"/>
        <v>12399.176084083367</v>
      </c>
      <c r="BQ26" s="58">
        <f t="shared" si="12"/>
        <v>15984.190126505917</v>
      </c>
      <c r="BS26" s="58">
        <f t="shared" si="31"/>
        <v>11393.768119076451</v>
      </c>
      <c r="BT26" s="58">
        <f t="shared" si="13"/>
        <v>12895.143127446701</v>
      </c>
      <c r="BU26" s="58">
        <f t="shared" si="13"/>
        <v>16623.557731566154</v>
      </c>
      <c r="BW26" s="58">
        <f t="shared" si="32"/>
        <v>11849.518843839509</v>
      </c>
      <c r="BX26" s="58">
        <f t="shared" si="14"/>
        <v>13410.94885254457</v>
      </c>
      <c r="BY26" s="58">
        <f t="shared" si="14"/>
        <v>17288.5000408288</v>
      </c>
      <c r="CA26" s="38">
        <v>497385.6826338502</v>
      </c>
      <c r="CB26" s="38">
        <v>654695.33715448843</v>
      </c>
      <c r="CC26" s="38">
        <v>700207.9888323734</v>
      </c>
    </row>
    <row r="27" spans="2:81" ht="15.75">
      <c r="B27" s="57" t="s">
        <v>117</v>
      </c>
      <c r="C27" s="58">
        <v>800</v>
      </c>
      <c r="D27" s="58">
        <v>981</v>
      </c>
      <c r="E27" s="58">
        <v>1247</v>
      </c>
      <c r="G27" s="58">
        <f t="shared" si="15"/>
        <v>872.00000000000011</v>
      </c>
      <c r="H27" s="58">
        <f t="shared" si="0"/>
        <v>1069.2900000000002</v>
      </c>
      <c r="I27" s="58">
        <f t="shared" si="0"/>
        <v>1359.23</v>
      </c>
      <c r="K27" s="58">
        <f t="shared" si="16"/>
        <v>924.32000000000016</v>
      </c>
      <c r="L27" s="58">
        <f t="shared" si="1"/>
        <v>1133.4474000000002</v>
      </c>
      <c r="M27" s="58">
        <f t="shared" si="1"/>
        <v>1440.7838000000002</v>
      </c>
      <c r="O27" s="58">
        <f t="shared" si="17"/>
        <v>979.77920000000017</v>
      </c>
      <c r="P27" s="58">
        <f t="shared" si="2"/>
        <v>1201.4542440000002</v>
      </c>
      <c r="Q27" s="58">
        <f t="shared" si="2"/>
        <v>1527.2308280000002</v>
      </c>
      <c r="S27" s="58">
        <f t="shared" si="18"/>
        <v>1028.7681600000003</v>
      </c>
      <c r="T27" s="58">
        <f t="shared" si="3"/>
        <v>1261.5269562000003</v>
      </c>
      <c r="U27" s="58">
        <f t="shared" si="3"/>
        <v>1603.5923694000003</v>
      </c>
      <c r="W27" s="58">
        <f t="shared" si="19"/>
        <v>1080.2065680000003</v>
      </c>
      <c r="X27" s="58">
        <f t="shared" si="4"/>
        <v>1324.6033040100003</v>
      </c>
      <c r="Y27" s="58">
        <f t="shared" si="4"/>
        <v>1683.7719878700004</v>
      </c>
      <c r="AA27" s="58">
        <f t="shared" si="20"/>
        <v>1145.0189620800004</v>
      </c>
      <c r="AB27" s="58">
        <f t="shared" si="20"/>
        <v>1404.0795022506004</v>
      </c>
      <c r="AC27" s="58">
        <f t="shared" si="20"/>
        <v>1784.7983071422007</v>
      </c>
      <c r="AE27" s="58">
        <f t="shared" si="21"/>
        <v>1190.8197205632005</v>
      </c>
      <c r="AF27" s="58">
        <f t="shared" si="5"/>
        <v>1460.2426823406245</v>
      </c>
      <c r="AG27" s="58">
        <f t="shared" si="5"/>
        <v>1856.1902394278889</v>
      </c>
      <c r="AI27" s="58">
        <f t="shared" si="22"/>
        <v>1280.1311996054405</v>
      </c>
      <c r="AJ27" s="58">
        <f t="shared" si="22"/>
        <v>1569.7608835161711</v>
      </c>
      <c r="AK27" s="58">
        <f t="shared" si="22"/>
        <v>1995.4045073849804</v>
      </c>
      <c r="AM27" s="58">
        <f t="shared" si="23"/>
        <v>1376.1410395758485</v>
      </c>
      <c r="AN27" s="58">
        <f t="shared" si="6"/>
        <v>1687.4929497798839</v>
      </c>
      <c r="AO27" s="58">
        <f t="shared" si="6"/>
        <v>2145.0598454388537</v>
      </c>
      <c r="AQ27" s="58">
        <f t="shared" si="24"/>
        <v>1486.2323227419165</v>
      </c>
      <c r="AR27" s="58">
        <f t="shared" si="24"/>
        <v>1822.4923857622748</v>
      </c>
      <c r="AS27" s="58">
        <f t="shared" si="24"/>
        <v>2316.6646330739622</v>
      </c>
      <c r="AU27" s="58">
        <f t="shared" si="25"/>
        <v>1612.5620701749795</v>
      </c>
      <c r="AV27" s="58">
        <f t="shared" si="7"/>
        <v>1977.4042385520681</v>
      </c>
      <c r="AW27" s="58">
        <f t="shared" si="7"/>
        <v>2513.581126885249</v>
      </c>
      <c r="AY27" s="58">
        <f t="shared" si="26"/>
        <v>1693.1901736837285</v>
      </c>
      <c r="AZ27" s="58">
        <f t="shared" si="8"/>
        <v>2076.2744504796715</v>
      </c>
      <c r="BA27" s="58">
        <f t="shared" si="8"/>
        <v>2639.2601832295113</v>
      </c>
      <c r="BC27" s="58">
        <f t="shared" si="27"/>
        <v>1820.1794367100081</v>
      </c>
      <c r="BD27" s="58">
        <f t="shared" si="9"/>
        <v>2231.9950342656466</v>
      </c>
      <c r="BE27" s="58">
        <f t="shared" si="9"/>
        <v>2837.2046969717244</v>
      </c>
      <c r="BG27" s="58">
        <f t="shared" si="28"/>
        <v>1920.2893057290585</v>
      </c>
      <c r="BH27" s="58">
        <f t="shared" si="10"/>
        <v>2354.7547611502569</v>
      </c>
      <c r="BI27" s="58">
        <f t="shared" si="10"/>
        <v>2993.2509553051691</v>
      </c>
      <c r="BK27" s="58">
        <f t="shared" si="29"/>
        <v>2029.500071931659</v>
      </c>
      <c r="BL27" s="58">
        <f t="shared" si="11"/>
        <v>2488.6744632061959</v>
      </c>
      <c r="BM27" s="58">
        <f t="shared" si="11"/>
        <v>3163.4832371234725</v>
      </c>
      <c r="BO27" s="58">
        <f t="shared" si="30"/>
        <v>2138.7108381342596</v>
      </c>
      <c r="BP27" s="58">
        <f t="shared" si="12"/>
        <v>2622.594165262135</v>
      </c>
      <c r="BQ27" s="58">
        <f t="shared" si="12"/>
        <v>3333.7155189417763</v>
      </c>
      <c r="BS27" s="58">
        <f t="shared" si="31"/>
        <v>2224.25927165963</v>
      </c>
      <c r="BT27" s="58">
        <f t="shared" si="13"/>
        <v>2727.4979318726205</v>
      </c>
      <c r="BU27" s="58">
        <f t="shared" si="13"/>
        <v>3467.0641396994474</v>
      </c>
      <c r="BW27" s="58">
        <f t="shared" si="32"/>
        <v>2313.2296425260151</v>
      </c>
      <c r="BX27" s="58">
        <f t="shared" si="14"/>
        <v>2836.5978491475253</v>
      </c>
      <c r="BY27" s="58">
        <f t="shared" si="14"/>
        <v>3605.7467052874254</v>
      </c>
      <c r="CA27" s="38">
        <v>102717.6347157541</v>
      </c>
      <c r="CB27" s="38">
        <v>129171.99041155905</v>
      </c>
      <c r="CC27" s="38">
        <v>149262.99079416122</v>
      </c>
    </row>
    <row r="28" spans="2:81" ht="15.75">
      <c r="B28" s="57" t="s">
        <v>118</v>
      </c>
      <c r="C28" s="58">
        <v>616</v>
      </c>
      <c r="D28" s="58">
        <v>716</v>
      </c>
      <c r="E28" s="58">
        <v>977</v>
      </c>
      <c r="G28" s="58">
        <f t="shared" si="15"/>
        <v>671.44</v>
      </c>
      <c r="H28" s="58">
        <f t="shared" si="0"/>
        <v>780.44</v>
      </c>
      <c r="I28" s="58">
        <f t="shared" si="0"/>
        <v>1064.93</v>
      </c>
      <c r="K28" s="58">
        <f t="shared" si="16"/>
        <v>711.72640000000013</v>
      </c>
      <c r="L28" s="58">
        <f t="shared" si="1"/>
        <v>827.26640000000009</v>
      </c>
      <c r="M28" s="58">
        <f t="shared" si="1"/>
        <v>1128.8258000000001</v>
      </c>
      <c r="O28" s="58">
        <f t="shared" si="17"/>
        <v>754.42998400000022</v>
      </c>
      <c r="P28" s="58">
        <f t="shared" si="2"/>
        <v>876.9023840000001</v>
      </c>
      <c r="Q28" s="58">
        <f t="shared" si="2"/>
        <v>1196.5553480000001</v>
      </c>
      <c r="S28" s="58">
        <f t="shared" si="18"/>
        <v>792.15148320000026</v>
      </c>
      <c r="T28" s="58">
        <f t="shared" si="3"/>
        <v>920.7475032000001</v>
      </c>
      <c r="U28" s="58">
        <f t="shared" si="3"/>
        <v>1256.3831154000002</v>
      </c>
      <c r="W28" s="58">
        <f t="shared" si="19"/>
        <v>831.75905736000027</v>
      </c>
      <c r="X28" s="58">
        <f t="shared" si="4"/>
        <v>966.78487836000011</v>
      </c>
      <c r="Y28" s="58">
        <f t="shared" si="4"/>
        <v>1319.2022711700001</v>
      </c>
      <c r="AA28" s="58">
        <f t="shared" si="20"/>
        <v>881.66460080160039</v>
      </c>
      <c r="AB28" s="58">
        <f t="shared" si="20"/>
        <v>1024.7919710616002</v>
      </c>
      <c r="AC28" s="58">
        <f t="shared" si="20"/>
        <v>1398.3544074402002</v>
      </c>
      <c r="AE28" s="58">
        <f t="shared" si="21"/>
        <v>916.93118483366447</v>
      </c>
      <c r="AF28" s="58">
        <f t="shared" si="5"/>
        <v>1065.7836499040643</v>
      </c>
      <c r="AG28" s="58">
        <f t="shared" si="5"/>
        <v>1454.2885837378083</v>
      </c>
      <c r="AI28" s="58">
        <f t="shared" si="22"/>
        <v>985.70102369618928</v>
      </c>
      <c r="AJ28" s="58">
        <f t="shared" si="22"/>
        <v>1145.7174236468691</v>
      </c>
      <c r="AK28" s="58">
        <f t="shared" si="22"/>
        <v>1563.3602275181438</v>
      </c>
      <c r="AM28" s="58">
        <f t="shared" si="23"/>
        <v>1059.6286004734034</v>
      </c>
      <c r="AN28" s="58">
        <f t="shared" si="6"/>
        <v>1231.6462304203842</v>
      </c>
      <c r="AO28" s="58">
        <f t="shared" si="6"/>
        <v>1680.6122445820045</v>
      </c>
      <c r="AQ28" s="58">
        <f t="shared" si="24"/>
        <v>1144.3988885112758</v>
      </c>
      <c r="AR28" s="58">
        <f t="shared" si="24"/>
        <v>1330.1779288540151</v>
      </c>
      <c r="AS28" s="58">
        <f t="shared" si="24"/>
        <v>1815.0612241485649</v>
      </c>
      <c r="AU28" s="58">
        <f t="shared" si="25"/>
        <v>1241.6727940347341</v>
      </c>
      <c r="AV28" s="58">
        <f t="shared" si="7"/>
        <v>1443.2430528066063</v>
      </c>
      <c r="AW28" s="58">
        <f t="shared" si="7"/>
        <v>1969.3414282011929</v>
      </c>
      <c r="AY28" s="58">
        <f t="shared" si="26"/>
        <v>1303.7564337364709</v>
      </c>
      <c r="AZ28" s="58">
        <f t="shared" si="8"/>
        <v>1515.4052054469366</v>
      </c>
      <c r="BA28" s="58">
        <f t="shared" si="8"/>
        <v>2067.8084996112525</v>
      </c>
      <c r="BC28" s="58">
        <f t="shared" si="27"/>
        <v>1401.5381662667062</v>
      </c>
      <c r="BD28" s="58">
        <f t="shared" si="9"/>
        <v>1629.0605958554568</v>
      </c>
      <c r="BE28" s="58">
        <f t="shared" si="9"/>
        <v>2222.8941370820962</v>
      </c>
      <c r="BG28" s="58">
        <f t="shared" si="28"/>
        <v>1478.622765411375</v>
      </c>
      <c r="BH28" s="58">
        <f t="shared" si="10"/>
        <v>1718.6589286275068</v>
      </c>
      <c r="BI28" s="58">
        <f t="shared" si="10"/>
        <v>2345.1533146216116</v>
      </c>
      <c r="BK28" s="58">
        <f t="shared" si="29"/>
        <v>1562.7150553873773</v>
      </c>
      <c r="BL28" s="58">
        <f t="shared" si="11"/>
        <v>1816.4025643788343</v>
      </c>
      <c r="BM28" s="58">
        <f t="shared" si="11"/>
        <v>2478.5269628465371</v>
      </c>
      <c r="BO28" s="58">
        <f t="shared" si="30"/>
        <v>1646.8073453633799</v>
      </c>
      <c r="BP28" s="58">
        <f t="shared" si="12"/>
        <v>1914.1462001301618</v>
      </c>
      <c r="BQ28" s="58">
        <f t="shared" si="12"/>
        <v>2611.9006110714631</v>
      </c>
      <c r="BS28" s="58">
        <f t="shared" si="31"/>
        <v>1712.6796391779151</v>
      </c>
      <c r="BT28" s="58">
        <f t="shared" si="13"/>
        <v>1990.7120481353684</v>
      </c>
      <c r="BU28" s="58">
        <f t="shared" si="13"/>
        <v>2716.3766355143216</v>
      </c>
      <c r="BW28" s="58">
        <f t="shared" si="32"/>
        <v>1781.1868247450318</v>
      </c>
      <c r="BX28" s="58">
        <f t="shared" si="14"/>
        <v>2070.3405300607833</v>
      </c>
      <c r="BY28" s="58">
        <f t="shared" si="14"/>
        <v>2825.0317009348946</v>
      </c>
      <c r="CA28" s="38">
        <v>84862.335508211516</v>
      </c>
      <c r="CB28" s="38">
        <v>94412.443992530563</v>
      </c>
      <c r="CC28" s="38">
        <v>120686.83065463098</v>
      </c>
    </row>
    <row r="29" spans="2:81" ht="15.75">
      <c r="B29" s="57" t="s">
        <v>119</v>
      </c>
      <c r="C29" s="58">
        <v>1023</v>
      </c>
      <c r="D29" s="58">
        <v>1157</v>
      </c>
      <c r="E29" s="58">
        <v>1469</v>
      </c>
      <c r="G29" s="58">
        <f t="shared" si="15"/>
        <v>1115.0700000000002</v>
      </c>
      <c r="H29" s="58">
        <f t="shared" si="0"/>
        <v>1261.1300000000001</v>
      </c>
      <c r="I29" s="58">
        <f t="shared" si="0"/>
        <v>1601.21</v>
      </c>
      <c r="K29" s="58">
        <f t="shared" si="16"/>
        <v>1181.9742000000003</v>
      </c>
      <c r="L29" s="58">
        <f t="shared" si="1"/>
        <v>1336.7978000000003</v>
      </c>
      <c r="M29" s="58">
        <f t="shared" si="1"/>
        <v>1697.2826000000002</v>
      </c>
      <c r="O29" s="58">
        <f t="shared" si="17"/>
        <v>1252.8926520000005</v>
      </c>
      <c r="P29" s="58">
        <f t="shared" si="2"/>
        <v>1417.0056680000005</v>
      </c>
      <c r="Q29" s="58">
        <f t="shared" si="2"/>
        <v>1799.1195560000003</v>
      </c>
      <c r="S29" s="58">
        <f t="shared" si="18"/>
        <v>1315.5372846000005</v>
      </c>
      <c r="T29" s="58">
        <f t="shared" si="3"/>
        <v>1487.8559514000005</v>
      </c>
      <c r="U29" s="58">
        <f t="shared" si="3"/>
        <v>1889.0755338000004</v>
      </c>
      <c r="W29" s="58">
        <f t="shared" si="19"/>
        <v>1381.3141488300005</v>
      </c>
      <c r="X29" s="58">
        <f t="shared" si="4"/>
        <v>1562.2487489700006</v>
      </c>
      <c r="Y29" s="58">
        <f t="shared" si="4"/>
        <v>1983.5293104900004</v>
      </c>
      <c r="AA29" s="58">
        <f t="shared" si="20"/>
        <v>1464.1929977598006</v>
      </c>
      <c r="AB29" s="58">
        <f t="shared" si="20"/>
        <v>1655.9836739082007</v>
      </c>
      <c r="AC29" s="58">
        <f t="shared" si="20"/>
        <v>2102.5410691194006</v>
      </c>
      <c r="AE29" s="58">
        <f t="shared" si="21"/>
        <v>1522.7607176701927</v>
      </c>
      <c r="AF29" s="58">
        <f t="shared" si="5"/>
        <v>1722.2230208645287</v>
      </c>
      <c r="AG29" s="58">
        <f t="shared" si="5"/>
        <v>2186.6427118841766</v>
      </c>
      <c r="AI29" s="58">
        <f t="shared" si="22"/>
        <v>1636.9677714954571</v>
      </c>
      <c r="AJ29" s="58">
        <f t="shared" si="22"/>
        <v>1851.3897474293683</v>
      </c>
      <c r="AK29" s="58">
        <f t="shared" si="22"/>
        <v>2350.6409152754895</v>
      </c>
      <c r="AM29" s="58">
        <f t="shared" si="23"/>
        <v>1759.7403543576163</v>
      </c>
      <c r="AN29" s="58">
        <f t="shared" si="6"/>
        <v>1990.2439784865708</v>
      </c>
      <c r="AO29" s="58">
        <f t="shared" si="6"/>
        <v>2526.9389839211512</v>
      </c>
      <c r="AQ29" s="58">
        <f t="shared" si="24"/>
        <v>1900.5195827062257</v>
      </c>
      <c r="AR29" s="58">
        <f t="shared" si="24"/>
        <v>2149.4634967654965</v>
      </c>
      <c r="AS29" s="58">
        <f t="shared" si="24"/>
        <v>2729.0941026348437</v>
      </c>
      <c r="AU29" s="58">
        <f t="shared" si="25"/>
        <v>2062.063747236255</v>
      </c>
      <c r="AV29" s="58">
        <f t="shared" si="7"/>
        <v>2332.1678939905637</v>
      </c>
      <c r="AW29" s="58">
        <f t="shared" si="7"/>
        <v>2961.0671013588053</v>
      </c>
      <c r="AY29" s="58">
        <f t="shared" si="26"/>
        <v>2165.1669345980681</v>
      </c>
      <c r="AZ29" s="58">
        <f t="shared" si="8"/>
        <v>2448.7762886900919</v>
      </c>
      <c r="BA29" s="58">
        <f t="shared" si="8"/>
        <v>3109.1204564267455</v>
      </c>
      <c r="BC29" s="58">
        <f t="shared" si="27"/>
        <v>2327.5544546929232</v>
      </c>
      <c r="BD29" s="58">
        <f t="shared" si="9"/>
        <v>2632.4345103418486</v>
      </c>
      <c r="BE29" s="58">
        <f t="shared" si="9"/>
        <v>3342.3044906587511</v>
      </c>
      <c r="BG29" s="58">
        <f t="shared" si="28"/>
        <v>2455.5699497010337</v>
      </c>
      <c r="BH29" s="58">
        <f t="shared" si="10"/>
        <v>2777.2184084106502</v>
      </c>
      <c r="BI29" s="58">
        <f t="shared" si="10"/>
        <v>3526.1312376449823</v>
      </c>
      <c r="BK29" s="58">
        <f t="shared" si="29"/>
        <v>2595.2232169826093</v>
      </c>
      <c r="BL29" s="58">
        <f t="shared" si="11"/>
        <v>2935.1644790311611</v>
      </c>
      <c r="BM29" s="58">
        <f t="shared" si="11"/>
        <v>3726.6695070845076</v>
      </c>
      <c r="BO29" s="58">
        <f t="shared" si="30"/>
        <v>2734.8764842641849</v>
      </c>
      <c r="BP29" s="58">
        <f t="shared" si="12"/>
        <v>3093.110549651672</v>
      </c>
      <c r="BQ29" s="58">
        <f t="shared" si="12"/>
        <v>3927.2077765240329</v>
      </c>
      <c r="BS29" s="58">
        <f t="shared" si="31"/>
        <v>2844.2715436347526</v>
      </c>
      <c r="BT29" s="58">
        <f t="shared" si="13"/>
        <v>3216.8349716377388</v>
      </c>
      <c r="BU29" s="58">
        <f t="shared" si="13"/>
        <v>4084.2960875849944</v>
      </c>
      <c r="BW29" s="58">
        <f t="shared" si="32"/>
        <v>2958.0424053801426</v>
      </c>
      <c r="BX29" s="58">
        <f t="shared" si="14"/>
        <v>3345.5083705032484</v>
      </c>
      <c r="BY29" s="58">
        <f t="shared" si="14"/>
        <v>4247.6679310883947</v>
      </c>
      <c r="CA29" s="38">
        <v>126461.13005715923</v>
      </c>
      <c r="CB29" s="38">
        <v>152387.98239298799</v>
      </c>
      <c r="CC29" s="38">
        <v>172717.22230667376</v>
      </c>
    </row>
    <row r="30" spans="2:81" ht="15.75">
      <c r="B30" s="57" t="s">
        <v>120</v>
      </c>
      <c r="C30" s="58">
        <v>2770</v>
      </c>
      <c r="D30" s="58">
        <v>3139</v>
      </c>
      <c r="E30" s="58">
        <v>4040</v>
      </c>
      <c r="G30" s="58">
        <f t="shared" si="15"/>
        <v>3019.3</v>
      </c>
      <c r="H30" s="58">
        <f t="shared" si="0"/>
        <v>3421.51</v>
      </c>
      <c r="I30" s="58">
        <f t="shared" si="0"/>
        <v>4403.6000000000004</v>
      </c>
      <c r="K30" s="58">
        <f t="shared" si="16"/>
        <v>3200.4580000000005</v>
      </c>
      <c r="L30" s="58">
        <f t="shared" si="1"/>
        <v>3626.8006000000005</v>
      </c>
      <c r="M30" s="58">
        <f t="shared" si="1"/>
        <v>4667.8160000000007</v>
      </c>
      <c r="O30" s="58">
        <f t="shared" si="17"/>
        <v>3392.4854800000007</v>
      </c>
      <c r="P30" s="58">
        <f t="shared" si="2"/>
        <v>3844.4086360000006</v>
      </c>
      <c r="Q30" s="58">
        <f t="shared" si="2"/>
        <v>4947.8849600000012</v>
      </c>
      <c r="S30" s="58">
        <f t="shared" si="18"/>
        <v>3562.109754000001</v>
      </c>
      <c r="T30" s="58">
        <f t="shared" si="3"/>
        <v>4036.6290678000009</v>
      </c>
      <c r="U30" s="58">
        <f t="shared" si="3"/>
        <v>5195.2792080000017</v>
      </c>
      <c r="W30" s="58">
        <f t="shared" si="19"/>
        <v>3740.2152417000011</v>
      </c>
      <c r="X30" s="58">
        <f t="shared" si="4"/>
        <v>4238.4605211900016</v>
      </c>
      <c r="Y30" s="58">
        <f t="shared" si="4"/>
        <v>5455.0431684000023</v>
      </c>
      <c r="AA30" s="58">
        <f t="shared" si="20"/>
        <v>3964.6281562020013</v>
      </c>
      <c r="AB30" s="58">
        <f t="shared" si="20"/>
        <v>4492.7681524614018</v>
      </c>
      <c r="AC30" s="58">
        <f t="shared" si="20"/>
        <v>5782.3457585040023</v>
      </c>
      <c r="AE30" s="58">
        <f t="shared" si="21"/>
        <v>4123.2132824500814</v>
      </c>
      <c r="AF30" s="58">
        <f t="shared" si="5"/>
        <v>4672.4788785598575</v>
      </c>
      <c r="AG30" s="58">
        <f t="shared" si="5"/>
        <v>6013.639588844163</v>
      </c>
      <c r="AI30" s="58">
        <f t="shared" si="22"/>
        <v>4432.454278633837</v>
      </c>
      <c r="AJ30" s="58">
        <f t="shared" si="22"/>
        <v>5022.9147944518463</v>
      </c>
      <c r="AK30" s="58">
        <f t="shared" si="22"/>
        <v>6464.6625580074751</v>
      </c>
      <c r="AM30" s="58">
        <f t="shared" si="23"/>
        <v>4764.8883495313748</v>
      </c>
      <c r="AN30" s="58">
        <f t="shared" si="6"/>
        <v>5399.6334040357342</v>
      </c>
      <c r="AO30" s="58">
        <f t="shared" si="6"/>
        <v>6949.5122498580358</v>
      </c>
      <c r="AQ30" s="58">
        <f t="shared" si="24"/>
        <v>5146.0794174938856</v>
      </c>
      <c r="AR30" s="58">
        <f t="shared" si="24"/>
        <v>5831.6040763585934</v>
      </c>
      <c r="AS30" s="58">
        <f t="shared" si="24"/>
        <v>7505.4732298466788</v>
      </c>
      <c r="AU30" s="58">
        <f t="shared" si="25"/>
        <v>5583.4961679808657</v>
      </c>
      <c r="AV30" s="58">
        <f t="shared" si="7"/>
        <v>6327.2904228490734</v>
      </c>
      <c r="AW30" s="58">
        <f t="shared" si="7"/>
        <v>8143.4384543836459</v>
      </c>
      <c r="AY30" s="58">
        <f t="shared" si="26"/>
        <v>5862.670976379909</v>
      </c>
      <c r="AZ30" s="58">
        <f t="shared" si="8"/>
        <v>6643.654943991527</v>
      </c>
      <c r="BA30" s="58">
        <f t="shared" si="8"/>
        <v>8550.6103771028284</v>
      </c>
      <c r="BC30" s="58">
        <f t="shared" si="27"/>
        <v>6302.3712996084023</v>
      </c>
      <c r="BD30" s="58">
        <f t="shared" si="9"/>
        <v>7141.9290647908911</v>
      </c>
      <c r="BE30" s="58">
        <f t="shared" si="9"/>
        <v>9191.9061553855408</v>
      </c>
      <c r="BG30" s="58">
        <f t="shared" si="28"/>
        <v>6649.0017210868637</v>
      </c>
      <c r="BH30" s="58">
        <f t="shared" si="10"/>
        <v>7534.7351633543894</v>
      </c>
      <c r="BI30" s="58">
        <f t="shared" si="10"/>
        <v>9697.4609939317452</v>
      </c>
      <c r="BK30" s="58">
        <f t="shared" si="29"/>
        <v>7027.1439990633689</v>
      </c>
      <c r="BL30" s="58">
        <f t="shared" si="11"/>
        <v>7963.2509072418434</v>
      </c>
      <c r="BM30" s="58">
        <f t="shared" si="11"/>
        <v>10248.975363254878</v>
      </c>
      <c r="BO30" s="58">
        <f t="shared" si="30"/>
        <v>7405.2862770398733</v>
      </c>
      <c r="BP30" s="58">
        <f t="shared" si="12"/>
        <v>8391.7666511292973</v>
      </c>
      <c r="BQ30" s="58">
        <f t="shared" si="12"/>
        <v>10800.489732578011</v>
      </c>
      <c r="BS30" s="58">
        <f t="shared" si="31"/>
        <v>7701.4977281214688</v>
      </c>
      <c r="BT30" s="58">
        <f t="shared" si="13"/>
        <v>8727.4373171744701</v>
      </c>
      <c r="BU30" s="58">
        <f t="shared" si="13"/>
        <v>11232.509321881133</v>
      </c>
      <c r="BW30" s="58">
        <f t="shared" si="32"/>
        <v>8009.5576372463274</v>
      </c>
      <c r="BX30" s="58">
        <f t="shared" si="14"/>
        <v>9076.5348098614486</v>
      </c>
      <c r="BY30" s="58">
        <f t="shared" si="14"/>
        <v>11681.809694756379</v>
      </c>
      <c r="CA30" s="38">
        <v>325674.4234172451</v>
      </c>
      <c r="CB30" s="38">
        <v>413334.10592505749</v>
      </c>
      <c r="CC30" s="38">
        <v>474972.36134335282</v>
      </c>
    </row>
    <row r="31" spans="2:81" ht="15.75">
      <c r="B31" s="59"/>
      <c r="F31" s="60"/>
      <c r="N31" s="60"/>
      <c r="Z31" s="61"/>
    </row>
    <row r="32" spans="2:81">
      <c r="B32" s="62"/>
    </row>
    <row r="34" spans="2:2">
      <c r="B34" s="63" t="s">
        <v>121</v>
      </c>
    </row>
    <row r="36" spans="2:2">
      <c r="B36" s="63" t="s">
        <v>122</v>
      </c>
    </row>
    <row r="37" spans="2:2">
      <c r="B37" s="63" t="s">
        <v>123</v>
      </c>
    </row>
    <row r="38" spans="2:2">
      <c r="B38" s="63" t="s">
        <v>124</v>
      </c>
    </row>
  </sheetData>
  <mergeCells count="3">
    <mergeCell ref="CA2:CC2"/>
    <mergeCell ref="CA3:CC3"/>
    <mergeCell ref="CB6:CC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T25"/>
  <sheetViews>
    <sheetView workbookViewId="0">
      <selection activeCell="AP5" sqref="AP5:AQ5"/>
    </sheetView>
  </sheetViews>
  <sheetFormatPr defaultColWidth="11.42578125" defaultRowHeight="15"/>
  <cols>
    <col min="2" max="2" width="24.140625" customWidth="1"/>
    <col min="3" max="3" width="37.7109375" style="49" hidden="1" customWidth="1"/>
    <col min="4" max="4" width="10.7109375" hidden="1" customWidth="1"/>
    <col min="5" max="5" width="37.7109375" hidden="1" customWidth="1"/>
    <col min="6" max="6" width="11.42578125" hidden="1" customWidth="1"/>
    <col min="7" max="7" width="37.7109375" hidden="1" customWidth="1"/>
    <col min="8" max="8" width="11.42578125" hidden="1" customWidth="1"/>
    <col min="9" max="9" width="37.7109375" hidden="1" customWidth="1"/>
    <col min="10" max="10" width="11.42578125" hidden="1" customWidth="1"/>
    <col min="11" max="11" width="37.7109375" hidden="1" customWidth="1"/>
    <col min="12" max="12" width="11.42578125" hidden="1" customWidth="1"/>
    <col min="13" max="13" width="37.7109375" hidden="1" customWidth="1"/>
    <col min="14" max="14" width="11.42578125" hidden="1" customWidth="1"/>
    <col min="15" max="15" width="37.7109375" hidden="1" customWidth="1"/>
    <col min="16" max="16" width="11.42578125" hidden="1" customWidth="1"/>
    <col min="17" max="17" width="37.7109375" hidden="1" customWidth="1"/>
    <col min="18" max="18" width="11.42578125" hidden="1" customWidth="1"/>
    <col min="19" max="19" width="37.7109375" hidden="1" customWidth="1"/>
    <col min="20" max="20" width="11.42578125" hidden="1" customWidth="1"/>
    <col min="21" max="21" width="37.7109375" hidden="1" customWidth="1"/>
    <col min="22" max="22" width="11.42578125" hidden="1" customWidth="1"/>
    <col min="23" max="23" width="37.7109375" hidden="1" customWidth="1"/>
    <col min="24" max="24" width="11.42578125" hidden="1" customWidth="1"/>
    <col min="25" max="25" width="37.7109375" hidden="1" customWidth="1"/>
    <col min="26" max="26" width="11.42578125" hidden="1" customWidth="1"/>
    <col min="27" max="27" width="37.7109375" hidden="1" customWidth="1"/>
    <col min="28" max="28" width="11.42578125" hidden="1" customWidth="1"/>
    <col min="29" max="29" width="37.7109375" hidden="1" customWidth="1"/>
    <col min="30" max="30" width="11.42578125" hidden="1" customWidth="1"/>
    <col min="31" max="31" width="37.7109375" hidden="1" customWidth="1"/>
    <col min="32" max="32" width="11.42578125" hidden="1" customWidth="1"/>
    <col min="33" max="33" width="37.7109375" hidden="1" customWidth="1"/>
    <col min="34" max="34" width="11.42578125" hidden="1" customWidth="1"/>
    <col min="35" max="35" width="37.7109375" hidden="1" customWidth="1"/>
    <col min="36" max="36" width="11.42578125" hidden="1" customWidth="1"/>
    <col min="37" max="37" width="37.7109375" hidden="1" customWidth="1"/>
    <col min="38" max="38" width="11.42578125" hidden="1" customWidth="1"/>
    <col min="39" max="39" width="37.7109375" hidden="1" customWidth="1"/>
    <col min="40" max="40" width="11.42578125" hidden="1" customWidth="1"/>
    <col min="41" max="41" width="43" bestFit="1" customWidth="1"/>
    <col min="42" max="42" width="13.5703125" bestFit="1" customWidth="1"/>
    <col min="43" max="43" width="19.85546875" customWidth="1"/>
    <col min="44" max="44" width="13.28515625" customWidth="1"/>
  </cols>
  <sheetData>
    <row r="1" spans="2:46" ht="15.75" thickBot="1"/>
    <row r="2" spans="2:46" ht="16.5" thickBot="1">
      <c r="B2" s="1" t="s">
        <v>0</v>
      </c>
      <c r="C2" s="2" t="s">
        <v>81</v>
      </c>
      <c r="D2" s="64"/>
      <c r="E2" s="2" t="s">
        <v>82</v>
      </c>
      <c r="G2" s="2" t="s">
        <v>83</v>
      </c>
      <c r="I2" s="2" t="s">
        <v>84</v>
      </c>
      <c r="K2" s="2" t="s">
        <v>84</v>
      </c>
      <c r="M2" s="2" t="s">
        <v>85</v>
      </c>
      <c r="O2" s="2" t="s">
        <v>86</v>
      </c>
      <c r="Q2" s="2" t="s">
        <v>87</v>
      </c>
      <c r="S2" s="2" t="s">
        <v>88</v>
      </c>
      <c r="U2" s="2" t="s">
        <v>89</v>
      </c>
      <c r="W2" s="2" t="s">
        <v>89</v>
      </c>
      <c r="Y2" s="2" t="s">
        <v>91</v>
      </c>
      <c r="AA2" s="2" t="s">
        <v>92</v>
      </c>
      <c r="AC2" s="2" t="s">
        <v>93</v>
      </c>
      <c r="AE2" s="2" t="s">
        <v>94</v>
      </c>
      <c r="AG2" s="2" t="s">
        <v>94</v>
      </c>
      <c r="AI2" s="2" t="s">
        <v>94</v>
      </c>
      <c r="AK2" s="2" t="s">
        <v>95</v>
      </c>
      <c r="AM2" s="2" t="s">
        <v>95</v>
      </c>
      <c r="AO2" s="166" t="s">
        <v>1</v>
      </c>
      <c r="AP2" s="167"/>
      <c r="AQ2" s="168"/>
      <c r="AR2" s="65"/>
      <c r="AS2" s="65"/>
      <c r="AT2" s="65"/>
    </row>
    <row r="3" spans="2:46" ht="16.5" thickBot="1">
      <c r="B3" s="2"/>
      <c r="C3" s="66"/>
      <c r="D3" s="64"/>
      <c r="E3" s="4"/>
      <c r="G3" s="4"/>
      <c r="I3" s="4"/>
      <c r="K3" s="4"/>
      <c r="M3" s="4"/>
      <c r="O3" s="4"/>
      <c r="Q3" s="4"/>
      <c r="S3" s="4"/>
      <c r="U3" s="4"/>
      <c r="W3" s="4"/>
      <c r="Y3" s="4"/>
      <c r="AA3" s="8"/>
      <c r="AC3" s="8"/>
      <c r="AE3" s="8"/>
      <c r="AG3" s="8"/>
      <c r="AI3" s="8"/>
      <c r="AK3" s="8"/>
      <c r="AM3" s="8"/>
      <c r="AO3" s="169"/>
      <c r="AP3" s="169"/>
      <c r="AQ3" s="169"/>
      <c r="AR3" s="169"/>
    </row>
    <row r="4" spans="2:46" ht="19.5" thickBot="1">
      <c r="B4" s="1" t="s">
        <v>2</v>
      </c>
      <c r="C4" s="47">
        <v>42552</v>
      </c>
      <c r="D4" s="67"/>
      <c r="E4" s="47">
        <v>42644</v>
      </c>
      <c r="F4" s="12"/>
      <c r="G4" s="47">
        <v>42767</v>
      </c>
      <c r="H4" s="12"/>
      <c r="I4" s="47">
        <v>42917</v>
      </c>
      <c r="J4" s="12"/>
      <c r="K4" s="47">
        <v>42948</v>
      </c>
      <c r="L4" s="12"/>
      <c r="M4" s="47">
        <v>42979</v>
      </c>
      <c r="N4" s="12"/>
      <c r="O4" s="47">
        <v>43070</v>
      </c>
      <c r="P4" s="12"/>
      <c r="Q4" s="47">
        <v>43132</v>
      </c>
      <c r="R4" s="12"/>
      <c r="S4" s="47">
        <v>43252</v>
      </c>
      <c r="T4" s="12"/>
      <c r="U4" s="47">
        <v>43313</v>
      </c>
      <c r="V4" s="12"/>
      <c r="W4" s="47">
        <v>43313</v>
      </c>
      <c r="X4" s="12"/>
      <c r="Y4" s="47">
        <v>43435</v>
      </c>
      <c r="Z4" s="12"/>
      <c r="AA4" s="68">
        <v>43497</v>
      </c>
      <c r="AB4" s="12"/>
      <c r="AC4" s="68">
        <v>43586</v>
      </c>
      <c r="AD4" s="12"/>
      <c r="AE4" s="68">
        <v>43647</v>
      </c>
      <c r="AF4" s="12"/>
      <c r="AG4" s="68">
        <v>43678</v>
      </c>
      <c r="AH4" s="12"/>
      <c r="AI4" s="68">
        <v>43709</v>
      </c>
      <c r="AJ4" s="12"/>
      <c r="AK4" s="68">
        <v>43739</v>
      </c>
      <c r="AL4" s="12"/>
      <c r="AM4" s="68">
        <v>43770</v>
      </c>
      <c r="AN4" s="12"/>
      <c r="AO4" s="48">
        <v>46082</v>
      </c>
      <c r="AQ4" s="69"/>
      <c r="AR4" s="70"/>
    </row>
    <row r="5" spans="2:46" ht="19.5" thickBot="1">
      <c r="B5" s="9"/>
      <c r="C5"/>
      <c r="D5" s="64"/>
      <c r="E5" s="71"/>
      <c r="G5" s="71"/>
      <c r="I5" s="71"/>
      <c r="K5" s="71"/>
      <c r="M5" s="71"/>
      <c r="O5" s="71"/>
      <c r="Q5" s="71"/>
      <c r="S5" s="71"/>
      <c r="U5" s="71"/>
      <c r="W5" s="71"/>
      <c r="Y5" s="71"/>
      <c r="AA5" s="72"/>
      <c r="AC5" s="72"/>
      <c r="AE5" s="72"/>
      <c r="AG5" s="72"/>
      <c r="AI5" s="72"/>
      <c r="AK5" s="72"/>
      <c r="AM5" s="72"/>
      <c r="AO5" s="72"/>
      <c r="AP5" s="170"/>
      <c r="AQ5" s="170"/>
      <c r="AR5" s="70"/>
    </row>
    <row r="6" spans="2:46" ht="19.5" thickBot="1">
      <c r="B6" s="2"/>
      <c r="C6" s="66"/>
      <c r="D6" s="64"/>
      <c r="E6" s="66"/>
      <c r="G6" s="66"/>
      <c r="I6" s="66"/>
      <c r="K6" s="66"/>
      <c r="M6" s="66"/>
      <c r="O6" s="66"/>
      <c r="Q6" s="66"/>
      <c r="S6" s="66"/>
      <c r="U6" s="66"/>
      <c r="W6" s="66"/>
      <c r="Y6" s="66"/>
      <c r="AA6" s="66"/>
      <c r="AC6" s="66"/>
      <c r="AE6" s="66"/>
      <c r="AG6" s="66"/>
      <c r="AI6" s="66"/>
      <c r="AK6" s="66"/>
      <c r="AM6" s="66"/>
      <c r="AO6" s="66"/>
      <c r="AQ6" s="171" t="s">
        <v>7</v>
      </c>
      <c r="AR6" s="172"/>
      <c r="AS6" s="9"/>
      <c r="AT6" s="9"/>
    </row>
    <row r="7" spans="2:46" ht="16.5" thickBot="1">
      <c r="B7" s="1" t="s">
        <v>4</v>
      </c>
      <c r="C7" s="5" t="s">
        <v>125</v>
      </c>
      <c r="D7" s="64"/>
      <c r="E7" s="5" t="s">
        <v>125</v>
      </c>
      <c r="G7" s="5" t="s">
        <v>125</v>
      </c>
      <c r="I7" s="5" t="s">
        <v>125</v>
      </c>
      <c r="K7" s="5" t="s">
        <v>125</v>
      </c>
      <c r="M7" s="5" t="s">
        <v>125</v>
      </c>
      <c r="O7" s="5" t="s">
        <v>125</v>
      </c>
      <c r="Q7" s="5" t="s">
        <v>125</v>
      </c>
      <c r="S7" s="5" t="s">
        <v>125</v>
      </c>
      <c r="U7" s="5" t="s">
        <v>125</v>
      </c>
      <c r="W7" s="5" t="s">
        <v>125</v>
      </c>
      <c r="Y7" s="5" t="s">
        <v>125</v>
      </c>
      <c r="AA7" s="5" t="s">
        <v>125</v>
      </c>
      <c r="AC7" s="5" t="s">
        <v>125</v>
      </c>
      <c r="AE7" s="5" t="s">
        <v>125</v>
      </c>
      <c r="AG7" s="5" t="s">
        <v>125</v>
      </c>
      <c r="AI7" s="5" t="s">
        <v>125</v>
      </c>
      <c r="AK7" s="5" t="s">
        <v>125</v>
      </c>
      <c r="AM7" s="5" t="s">
        <v>125</v>
      </c>
      <c r="AO7" s="5" t="s">
        <v>125</v>
      </c>
    </row>
    <row r="8" spans="2:46" ht="16.5" thickBot="1">
      <c r="B8" s="2"/>
      <c r="C8" s="73"/>
      <c r="D8" s="64"/>
      <c r="E8" s="73"/>
      <c r="G8" s="73"/>
      <c r="I8" s="73"/>
      <c r="K8" s="73"/>
      <c r="M8" s="73"/>
      <c r="O8" s="73"/>
      <c r="Q8" s="73"/>
      <c r="S8" s="73"/>
      <c r="U8" s="73"/>
      <c r="W8" s="73"/>
      <c r="Y8" s="73"/>
      <c r="AA8" s="73"/>
      <c r="AC8" s="73"/>
      <c r="AE8" s="73"/>
      <c r="AG8" s="73"/>
      <c r="AI8" s="73"/>
      <c r="AK8" s="73"/>
      <c r="AM8" s="73"/>
      <c r="AO8" s="73"/>
    </row>
    <row r="9" spans="2:46" ht="16.5" thickBot="1">
      <c r="B9" s="1" t="s">
        <v>8</v>
      </c>
      <c r="C9" s="5" t="s">
        <v>126</v>
      </c>
      <c r="D9" s="64"/>
      <c r="E9" s="5" t="s">
        <v>126</v>
      </c>
      <c r="G9" s="5" t="s">
        <v>126</v>
      </c>
      <c r="I9" s="5" t="s">
        <v>126</v>
      </c>
      <c r="K9" s="5" t="s">
        <v>126</v>
      </c>
      <c r="M9" s="5" t="s">
        <v>126</v>
      </c>
      <c r="O9" s="5" t="s">
        <v>126</v>
      </c>
      <c r="Q9" s="5" t="s">
        <v>126</v>
      </c>
      <c r="S9" s="5" t="s">
        <v>126</v>
      </c>
      <c r="U9" s="5" t="s">
        <v>126</v>
      </c>
      <c r="W9" s="5" t="s">
        <v>126</v>
      </c>
      <c r="Y9" s="5" t="s">
        <v>126</v>
      </c>
      <c r="AA9" s="5" t="s">
        <v>126</v>
      </c>
      <c r="AC9" s="5" t="s">
        <v>126</v>
      </c>
      <c r="AE9" s="5" t="s">
        <v>126</v>
      </c>
      <c r="AG9" s="5" t="s">
        <v>126</v>
      </c>
      <c r="AI9" s="5" t="s">
        <v>126</v>
      </c>
      <c r="AK9" s="5" t="s">
        <v>126</v>
      </c>
      <c r="AM9" s="5" t="s">
        <v>126</v>
      </c>
      <c r="AO9" s="5" t="s">
        <v>127</v>
      </c>
    </row>
    <row r="10" spans="2:46" ht="16.5" thickBot="1">
      <c r="B10" s="2"/>
      <c r="C10" s="121"/>
      <c r="D10" s="64"/>
      <c r="E10" s="121"/>
      <c r="G10" s="121"/>
      <c r="I10" s="121"/>
      <c r="K10" s="121"/>
      <c r="M10" s="121"/>
      <c r="O10" s="121"/>
      <c r="Q10" s="121"/>
      <c r="S10" s="121"/>
      <c r="U10" s="121"/>
      <c r="W10" s="121"/>
      <c r="Y10" s="121"/>
      <c r="AA10" s="121"/>
      <c r="AC10" s="121"/>
      <c r="AE10" s="121"/>
      <c r="AG10" s="121"/>
      <c r="AI10" s="121"/>
      <c r="AK10" s="121"/>
      <c r="AM10" s="121"/>
      <c r="AO10" s="5" t="s">
        <v>128</v>
      </c>
    </row>
    <row r="11" spans="2:46" ht="16.5" thickBot="1">
      <c r="B11" s="2"/>
      <c r="C11" s="73"/>
      <c r="D11" s="64"/>
      <c r="E11" s="73"/>
      <c r="G11" s="73"/>
      <c r="I11" s="73"/>
      <c r="K11" s="73"/>
      <c r="M11" s="73"/>
      <c r="O11" s="73"/>
      <c r="Q11" s="73"/>
      <c r="S11" s="73"/>
      <c r="U11" s="73"/>
      <c r="W11" s="73"/>
      <c r="Y11" s="73"/>
      <c r="AA11" s="73"/>
      <c r="AC11" s="73"/>
      <c r="AE11" s="73"/>
      <c r="AG11" s="73"/>
      <c r="AI11" s="73"/>
      <c r="AK11" s="73"/>
      <c r="AM11" s="73"/>
      <c r="AO11" s="5" t="s">
        <v>129</v>
      </c>
    </row>
    <row r="12" spans="2:46" ht="19.5" thickBot="1">
      <c r="B12" s="1" t="s">
        <v>41</v>
      </c>
      <c r="C12" s="74" t="s">
        <v>130</v>
      </c>
      <c r="D12" s="64"/>
      <c r="E12" s="74" t="s">
        <v>130</v>
      </c>
      <c r="G12" s="74" t="s">
        <v>130</v>
      </c>
      <c r="I12" s="74" t="s">
        <v>130</v>
      </c>
      <c r="K12" s="74" t="s">
        <v>130</v>
      </c>
      <c r="M12" s="74" t="s">
        <v>130</v>
      </c>
      <c r="O12" s="74" t="s">
        <v>130</v>
      </c>
      <c r="Q12" s="74" t="s">
        <v>130</v>
      </c>
      <c r="S12" s="74" t="s">
        <v>130</v>
      </c>
      <c r="U12" s="74" t="s">
        <v>130</v>
      </c>
      <c r="W12" s="74" t="s">
        <v>130</v>
      </c>
      <c r="Y12" s="74" t="s">
        <v>130</v>
      </c>
      <c r="AA12" s="74" t="s">
        <v>130</v>
      </c>
      <c r="AC12" s="74" t="s">
        <v>130</v>
      </c>
      <c r="AE12" s="74" t="s">
        <v>130</v>
      </c>
      <c r="AG12" s="74" t="s">
        <v>130</v>
      </c>
      <c r="AI12" s="74" t="s">
        <v>130</v>
      </c>
      <c r="AK12" s="74" t="s">
        <v>130</v>
      </c>
      <c r="AM12" s="74" t="s">
        <v>130</v>
      </c>
      <c r="AO12" s="75" t="s">
        <v>131</v>
      </c>
    </row>
    <row r="13" spans="2:46" ht="19.5" thickBot="1">
      <c r="AO13" s="75" t="s">
        <v>130</v>
      </c>
    </row>
    <row r="14" spans="2:46" ht="19.5" thickBot="1">
      <c r="AO14" s="75" t="s">
        <v>132</v>
      </c>
    </row>
    <row r="15" spans="2:46" ht="19.5" thickBot="1">
      <c r="AO15" s="75" t="s">
        <v>133</v>
      </c>
    </row>
    <row r="16" spans="2:46" ht="19.5" thickBot="1">
      <c r="AO16" s="75" t="s">
        <v>134</v>
      </c>
    </row>
    <row r="17" spans="2:43" ht="16.5">
      <c r="AQ17" s="120" t="s">
        <v>21</v>
      </c>
    </row>
    <row r="18" spans="2:43" ht="15.75" thickBot="1"/>
    <row r="19" spans="2:43" ht="20.25" thickBot="1">
      <c r="B19" s="80" t="s">
        <v>41</v>
      </c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124" t="s">
        <v>50</v>
      </c>
    </row>
    <row r="20" spans="2:43" ht="18.75">
      <c r="B20" s="79" t="s">
        <v>131</v>
      </c>
      <c r="AO20" s="161">
        <v>79105.872962634006</v>
      </c>
    </row>
    <row r="21" spans="2:43" ht="18.75">
      <c r="B21" s="78" t="s">
        <v>135</v>
      </c>
      <c r="AO21" s="161">
        <v>91275.920607398089</v>
      </c>
    </row>
    <row r="22" spans="2:43" ht="18.75">
      <c r="B22" s="78" t="s">
        <v>136</v>
      </c>
      <c r="AO22" s="161">
        <v>137130.74050302687</v>
      </c>
      <c r="AQ22" s="141"/>
    </row>
    <row r="23" spans="2:43" ht="18.75">
      <c r="B23" s="78" t="s">
        <v>137</v>
      </c>
      <c r="AO23" s="161">
        <v>103447.09479549689</v>
      </c>
    </row>
    <row r="24" spans="2:43" ht="18.75">
      <c r="B24" s="78" t="s">
        <v>138</v>
      </c>
      <c r="AO24" s="161">
        <v>127786.06354169038</v>
      </c>
    </row>
    <row r="25" spans="2:43" ht="18.75">
      <c r="B25" s="78" t="s">
        <v>134</v>
      </c>
      <c r="AO25" s="161">
        <v>135597.51502450017</v>
      </c>
    </row>
  </sheetData>
  <mergeCells count="4">
    <mergeCell ref="AO2:AQ2"/>
    <mergeCell ref="AO3:AR3"/>
    <mergeCell ref="AP5:AQ5"/>
    <mergeCell ref="AQ6:AR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M17"/>
  <sheetViews>
    <sheetView workbookViewId="0">
      <selection activeCell="B5" sqref="B5"/>
    </sheetView>
  </sheetViews>
  <sheetFormatPr defaultColWidth="11.42578125" defaultRowHeight="15"/>
  <cols>
    <col min="2" max="2" width="41.42578125" bestFit="1" customWidth="1"/>
    <col min="3" max="3" width="36.140625" hidden="1" customWidth="1"/>
    <col min="4" max="5" width="0" hidden="1" customWidth="1"/>
    <col min="6" max="6" width="36.140625" customWidth="1"/>
    <col min="7" max="7" width="20.7109375" bestFit="1" customWidth="1"/>
    <col min="8" max="8" width="17.85546875" customWidth="1"/>
  </cols>
  <sheetData>
    <row r="1" spans="2:10" ht="15.75" thickBot="1"/>
    <row r="2" spans="2:10" ht="16.5" thickBot="1">
      <c r="B2" s="1" t="s">
        <v>0</v>
      </c>
      <c r="C2" s="2"/>
      <c r="F2" s="166" t="s">
        <v>1</v>
      </c>
      <c r="G2" s="167"/>
      <c r="H2" s="167"/>
      <c r="I2" s="168"/>
      <c r="J2" s="65"/>
    </row>
    <row r="3" spans="2:10" ht="18.75" thickBot="1">
      <c r="B3" s="83"/>
      <c r="C3" s="4"/>
      <c r="F3" s="169"/>
      <c r="G3" s="169"/>
      <c r="H3" s="169"/>
      <c r="I3" s="169"/>
    </row>
    <row r="4" spans="2:10" ht="18.75" thickBot="1">
      <c r="B4" s="84" t="s">
        <v>2</v>
      </c>
      <c r="C4" s="47">
        <v>43709</v>
      </c>
      <c r="D4" s="12"/>
      <c r="E4" s="12"/>
      <c r="F4" s="48">
        <v>46082</v>
      </c>
      <c r="G4" s="85"/>
      <c r="H4" s="43"/>
      <c r="I4" s="70"/>
    </row>
    <row r="5" spans="2:10" ht="19.5" thickBot="1">
      <c r="B5" s="83"/>
      <c r="C5" s="86"/>
      <c r="F5" s="86"/>
      <c r="G5" s="170"/>
      <c r="H5" s="170"/>
      <c r="I5" s="170"/>
      <c r="J5" s="9"/>
    </row>
    <row r="6" spans="2:10" ht="19.5" thickBot="1">
      <c r="B6" s="83" t="s">
        <v>4</v>
      </c>
      <c r="C6" s="87" t="s">
        <v>5</v>
      </c>
      <c r="F6" s="87" t="s">
        <v>5</v>
      </c>
      <c r="G6" s="171" t="s">
        <v>7</v>
      </c>
      <c r="H6" s="172"/>
      <c r="I6" s="9"/>
      <c r="J6" s="9"/>
    </row>
    <row r="7" spans="2:10" ht="18">
      <c r="B7" s="83"/>
      <c r="C7" s="49" t="s">
        <v>35</v>
      </c>
      <c r="F7" s="44" t="s">
        <v>35</v>
      </c>
    </row>
    <row r="8" spans="2:10" ht="18.75" thickBot="1">
      <c r="B8" s="83"/>
      <c r="C8" s="87"/>
      <c r="F8" s="87"/>
    </row>
    <row r="9" spans="2:10" ht="18.75">
      <c r="B9" s="83" t="s">
        <v>8</v>
      </c>
      <c r="C9" s="88" t="s">
        <v>9</v>
      </c>
      <c r="D9" s="173" t="s">
        <v>10</v>
      </c>
      <c r="F9" s="88" t="s">
        <v>139</v>
      </c>
      <c r="G9" s="183" t="s">
        <v>10</v>
      </c>
    </row>
    <row r="10" spans="2:10" ht="19.5" thickBot="1">
      <c r="B10" s="83"/>
      <c r="C10" s="89" t="s">
        <v>37</v>
      </c>
      <c r="D10" s="174"/>
      <c r="F10" s="89" t="s">
        <v>140</v>
      </c>
      <c r="G10" s="185"/>
    </row>
    <row r="11" spans="2:10" ht="18.75">
      <c r="B11" s="83"/>
      <c r="C11" s="88" t="s">
        <v>38</v>
      </c>
      <c r="D11" s="173" t="s">
        <v>39</v>
      </c>
      <c r="F11" s="88" t="s">
        <v>141</v>
      </c>
      <c r="G11" s="183" t="s">
        <v>39</v>
      </c>
    </row>
    <row r="12" spans="2:10" ht="19.5" thickBot="1">
      <c r="B12" s="83"/>
      <c r="C12" s="89" t="s">
        <v>18</v>
      </c>
      <c r="D12" s="174"/>
      <c r="F12" s="89" t="s">
        <v>142</v>
      </c>
      <c r="G12" s="185"/>
    </row>
    <row r="13" spans="2:10" ht="18.75">
      <c r="B13" s="83"/>
      <c r="C13" s="90"/>
      <c r="D13" s="49"/>
      <c r="F13" s="83" t="s">
        <v>21</v>
      </c>
      <c r="G13" s="49"/>
    </row>
    <row r="14" spans="2:10" ht="18.75" thickBot="1">
      <c r="B14" s="83"/>
      <c r="C14" s="87"/>
      <c r="F14" s="87"/>
    </row>
    <row r="15" spans="2:10" ht="18.75" thickBot="1">
      <c r="B15" s="84" t="s">
        <v>41</v>
      </c>
      <c r="C15" s="91" t="s">
        <v>22</v>
      </c>
      <c r="F15" s="91" t="s">
        <v>22</v>
      </c>
    </row>
    <row r="16" spans="2:10" ht="23.25">
      <c r="B16" s="92" t="s">
        <v>143</v>
      </c>
      <c r="C16" s="93">
        <v>3997.3367200000002</v>
      </c>
      <c r="F16" s="94">
        <v>188995</v>
      </c>
      <c r="G16" s="122"/>
      <c r="H16" s="95"/>
      <c r="I16" s="95"/>
      <c r="J16" s="95"/>
    </row>
    <row r="17" spans="2:13" ht="24" thickBot="1">
      <c r="B17" s="96" t="s">
        <v>144</v>
      </c>
      <c r="C17" s="97">
        <v>7994.3895200000006</v>
      </c>
      <c r="F17" s="98">
        <v>536912</v>
      </c>
      <c r="G17" s="122"/>
      <c r="H17" s="99"/>
      <c r="I17" s="99"/>
      <c r="J17" s="99"/>
      <c r="K17" s="99"/>
      <c r="L17" s="99"/>
      <c r="M17" s="99"/>
    </row>
  </sheetData>
  <mergeCells count="8">
    <mergeCell ref="D11:D12"/>
    <mergeCell ref="G11:G12"/>
    <mergeCell ref="F2:I2"/>
    <mergeCell ref="F3:I3"/>
    <mergeCell ref="G5:I5"/>
    <mergeCell ref="G6:H6"/>
    <mergeCell ref="D9:D10"/>
    <mergeCell ref="G9:G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18"/>
  <sheetViews>
    <sheetView workbookViewId="0">
      <selection activeCell="B5" sqref="B5"/>
    </sheetView>
  </sheetViews>
  <sheetFormatPr defaultColWidth="11.42578125" defaultRowHeight="15"/>
  <cols>
    <col min="2" max="2" width="41.42578125" bestFit="1" customWidth="1"/>
    <col min="3" max="3" width="42.42578125" hidden="1" customWidth="1"/>
    <col min="4" max="4" width="10.7109375" hidden="1" customWidth="1"/>
    <col min="5" max="5" width="0" hidden="1" customWidth="1"/>
    <col min="6" max="6" width="42.42578125" customWidth="1"/>
    <col min="7" max="7" width="21.5703125" customWidth="1"/>
    <col min="8" max="8" width="13.7109375" customWidth="1"/>
    <col min="9" max="9" width="19.85546875" customWidth="1"/>
    <col min="10" max="10" width="11.5703125" customWidth="1"/>
    <col min="13" max="13" width="6.42578125" customWidth="1"/>
  </cols>
  <sheetData>
    <row r="1" spans="2:10" ht="15.75" thickBot="1"/>
    <row r="2" spans="2:10" ht="16.5" thickBot="1">
      <c r="B2" s="1" t="s">
        <v>0</v>
      </c>
      <c r="C2" s="2" t="s">
        <v>95</v>
      </c>
      <c r="D2" s="8"/>
      <c r="F2" s="166" t="s">
        <v>1</v>
      </c>
      <c r="G2" s="167"/>
      <c r="H2" s="167"/>
      <c r="I2" s="168"/>
      <c r="J2" s="65"/>
    </row>
    <row r="3" spans="2:10" ht="18.75" thickBot="1">
      <c r="B3" s="83"/>
      <c r="C3" s="4"/>
      <c r="D3" s="8"/>
      <c r="F3" s="169"/>
      <c r="G3" s="169"/>
      <c r="H3" s="169"/>
    </row>
    <row r="4" spans="2:10" ht="18.75" thickBot="1">
      <c r="B4" s="84" t="s">
        <v>2</v>
      </c>
      <c r="C4" s="47">
        <v>43770</v>
      </c>
      <c r="D4" s="100"/>
      <c r="E4" s="12"/>
      <c r="F4" s="48">
        <v>46082</v>
      </c>
      <c r="G4" s="85"/>
      <c r="H4" s="43"/>
      <c r="I4" s="70"/>
    </row>
    <row r="5" spans="2:10" ht="19.5" thickBot="1">
      <c r="B5" s="83"/>
      <c r="C5" s="86"/>
      <c r="D5" s="8"/>
      <c r="F5" s="86"/>
      <c r="G5" s="170"/>
      <c r="H5" s="170"/>
      <c r="I5" s="101"/>
      <c r="J5" s="101"/>
    </row>
    <row r="6" spans="2:10" ht="19.5" thickBot="1">
      <c r="B6" s="83" t="s">
        <v>4</v>
      </c>
      <c r="C6" s="87" t="s">
        <v>52</v>
      </c>
      <c r="D6" s="8"/>
      <c r="F6" s="87" t="s">
        <v>52</v>
      </c>
      <c r="G6" s="171" t="s">
        <v>7</v>
      </c>
      <c r="H6" s="172"/>
      <c r="I6" s="9"/>
      <c r="J6" s="101"/>
    </row>
    <row r="7" spans="2:10" ht="19.5" thickBot="1">
      <c r="B7" s="83"/>
      <c r="C7" s="102"/>
      <c r="D7" s="8"/>
      <c r="F7" s="102"/>
      <c r="G7" s="8"/>
    </row>
    <row r="8" spans="2:10" ht="21.75" thickBot="1">
      <c r="B8" s="83" t="s">
        <v>8</v>
      </c>
      <c r="C8" s="103" t="s">
        <v>145</v>
      </c>
      <c r="D8" s="177" t="s">
        <v>10</v>
      </c>
      <c r="F8" s="110" t="s">
        <v>146</v>
      </c>
      <c r="G8" s="183" t="s">
        <v>10</v>
      </c>
    </row>
    <row r="9" spans="2:10" ht="21.75" thickBot="1">
      <c r="B9" s="83"/>
      <c r="C9" s="104" t="s">
        <v>147</v>
      </c>
      <c r="D9" s="178"/>
      <c r="F9" s="110" t="s">
        <v>148</v>
      </c>
      <c r="G9" s="185"/>
    </row>
    <row r="10" spans="2:10" ht="21.75" thickBot="1">
      <c r="B10" s="83"/>
      <c r="C10" s="105" t="s">
        <v>149</v>
      </c>
      <c r="D10" s="179"/>
      <c r="F10" s="110" t="s">
        <v>141</v>
      </c>
      <c r="G10" s="183" t="s">
        <v>39</v>
      </c>
    </row>
    <row r="11" spans="2:10" ht="21.75" thickBot="1">
      <c r="B11" s="83"/>
      <c r="C11" s="103" t="s">
        <v>150</v>
      </c>
      <c r="D11" s="177" t="s">
        <v>39</v>
      </c>
      <c r="F11" s="110" t="s">
        <v>151</v>
      </c>
      <c r="G11" s="185"/>
    </row>
    <row r="12" spans="2:10" ht="21">
      <c r="B12" s="83"/>
      <c r="C12" s="104"/>
      <c r="D12" s="178"/>
      <c r="F12" s="109"/>
      <c r="G12" s="8"/>
    </row>
    <row r="13" spans="2:10" ht="17.25" customHeight="1" thickBot="1">
      <c r="B13" s="83"/>
      <c r="C13" s="105" t="s">
        <v>152</v>
      </c>
      <c r="D13" s="179"/>
      <c r="F13" s="87"/>
      <c r="G13" s="8"/>
    </row>
    <row r="14" spans="2:10" ht="18.75" thickBot="1">
      <c r="B14" s="84" t="s">
        <v>41</v>
      </c>
      <c r="C14" s="87"/>
      <c r="D14" s="8"/>
      <c r="F14" s="106" t="s">
        <v>153</v>
      </c>
    </row>
    <row r="15" spans="2:10" ht="24" thickBot="1">
      <c r="B15" s="92" t="s">
        <v>154</v>
      </c>
      <c r="C15" s="91" t="s">
        <v>153</v>
      </c>
      <c r="D15" s="8"/>
      <c r="F15" s="94">
        <v>219680</v>
      </c>
      <c r="G15" s="123"/>
    </row>
    <row r="16" spans="2:10" ht="24" thickBot="1">
      <c r="B16" s="107" t="s">
        <v>155</v>
      </c>
      <c r="C16" s="93">
        <v>4647</v>
      </c>
      <c r="F16" s="98">
        <v>745384</v>
      </c>
      <c r="G16" s="123"/>
    </row>
    <row r="17" spans="2:13">
      <c r="G17" s="76"/>
      <c r="H17" s="95"/>
      <c r="I17" s="95"/>
      <c r="J17" s="95"/>
    </row>
    <row r="18" spans="2:13" ht="24" thickBot="1">
      <c r="B18" s="120" t="s">
        <v>21</v>
      </c>
      <c r="C18" s="97">
        <v>11092</v>
      </c>
      <c r="G18" s="76"/>
      <c r="H18" s="108"/>
      <c r="I18" s="108"/>
      <c r="J18" s="108"/>
      <c r="K18" s="108"/>
      <c r="L18" s="108"/>
      <c r="M18" s="108"/>
    </row>
  </sheetData>
  <mergeCells count="8">
    <mergeCell ref="D11:D13"/>
    <mergeCell ref="F2:I2"/>
    <mergeCell ref="F3:H3"/>
    <mergeCell ref="G5:H5"/>
    <mergeCell ref="G6:H6"/>
    <mergeCell ref="D8:D10"/>
    <mergeCell ref="G8:G9"/>
    <mergeCell ref="G10:G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M24"/>
  <sheetViews>
    <sheetView workbookViewId="0">
      <selection activeCell="G5" sqref="G5"/>
    </sheetView>
  </sheetViews>
  <sheetFormatPr defaultColWidth="11.42578125" defaultRowHeight="15"/>
  <cols>
    <col min="2" max="2" width="31.85546875" customWidth="1"/>
    <col min="3" max="5" width="20.7109375" hidden="1" customWidth="1"/>
    <col min="6" max="6" width="0" hidden="1" customWidth="1"/>
    <col min="7" max="7" width="36" bestFit="1" customWidth="1"/>
    <col min="8" max="8" width="23" bestFit="1" customWidth="1"/>
    <col min="9" max="9" width="23.140625" bestFit="1" customWidth="1"/>
    <col min="10" max="12" width="13" bestFit="1" customWidth="1"/>
  </cols>
  <sheetData>
    <row r="2" spans="2:10" ht="15.75" thickBot="1"/>
    <row r="3" spans="2:10" ht="16.5" thickBot="1">
      <c r="B3" s="1" t="s">
        <v>0</v>
      </c>
      <c r="C3" s="2"/>
      <c r="G3" s="166" t="s">
        <v>1</v>
      </c>
      <c r="H3" s="167"/>
      <c r="I3" s="167"/>
      <c r="J3" s="168"/>
    </row>
    <row r="4" spans="2:10" ht="18.75" thickBot="1">
      <c r="B4" s="3"/>
      <c r="C4" s="4"/>
      <c r="G4" s="169"/>
      <c r="H4" s="169"/>
      <c r="I4" s="169"/>
    </row>
    <row r="5" spans="2:10" ht="18" thickBot="1">
      <c r="B5" s="5" t="s">
        <v>2</v>
      </c>
      <c r="C5" s="6">
        <v>43709</v>
      </c>
      <c r="G5" s="7">
        <v>46082</v>
      </c>
      <c r="H5" s="85"/>
      <c r="I5" s="43"/>
    </row>
    <row r="6" spans="2:10" ht="19.5" thickBot="1">
      <c r="B6" s="8"/>
      <c r="H6" s="171" t="s">
        <v>7</v>
      </c>
      <c r="I6" s="172"/>
      <c r="J6" s="9"/>
    </row>
    <row r="7" spans="2:10" ht="15.75" thickBot="1">
      <c r="B7" s="111"/>
    </row>
    <row r="8" spans="2:10" ht="16.5" thickBot="1">
      <c r="B8" s="14" t="s">
        <v>4</v>
      </c>
      <c r="C8" s="14" t="s">
        <v>52</v>
      </c>
      <c r="G8" s="10" t="s">
        <v>52</v>
      </c>
    </row>
    <row r="9" spans="2:10" ht="16.5" thickBot="1">
      <c r="B9" s="14"/>
      <c r="C9" s="14"/>
      <c r="G9" s="14"/>
    </row>
    <row r="10" spans="2:10" ht="16.5" thickBot="1">
      <c r="B10" s="14" t="s">
        <v>54</v>
      </c>
      <c r="C10" s="21" t="s">
        <v>55</v>
      </c>
      <c r="D10" s="14" t="s">
        <v>10</v>
      </c>
      <c r="G10" s="118" t="s">
        <v>139</v>
      </c>
      <c r="H10" s="203" t="s">
        <v>156</v>
      </c>
    </row>
    <row r="11" spans="2:10" ht="16.5" thickBot="1">
      <c r="B11" s="14"/>
      <c r="C11" s="21" t="s">
        <v>157</v>
      </c>
      <c r="D11" s="14" t="s">
        <v>39</v>
      </c>
      <c r="G11" s="119" t="s">
        <v>158</v>
      </c>
      <c r="H11" s="204"/>
    </row>
    <row r="12" spans="2:10" ht="16.5" thickBot="1">
      <c r="B12" s="14"/>
      <c r="C12" s="21"/>
      <c r="D12" s="14"/>
      <c r="G12" s="118" t="s">
        <v>159</v>
      </c>
      <c r="H12" s="203" t="s">
        <v>39</v>
      </c>
    </row>
    <row r="13" spans="2:10" ht="16.5" thickBot="1">
      <c r="B13" s="14"/>
      <c r="C13" s="21"/>
      <c r="D13" s="14"/>
      <c r="G13" s="119" t="s">
        <v>160</v>
      </c>
      <c r="H13" s="204"/>
    </row>
    <row r="14" spans="2:10" ht="15.75">
      <c r="B14" s="14"/>
      <c r="C14" s="21"/>
      <c r="D14" s="14"/>
      <c r="G14" s="140"/>
      <c r="H14" s="50"/>
    </row>
    <row r="15" spans="2:10">
      <c r="B15" s="112"/>
    </row>
    <row r="16" spans="2:10" ht="15.75">
      <c r="B16" s="14" t="s">
        <v>13</v>
      </c>
      <c r="C16" s="14" t="s">
        <v>58</v>
      </c>
      <c r="G16" s="14" t="s">
        <v>58</v>
      </c>
      <c r="H16" s="27"/>
    </row>
    <row r="17" spans="2:13" ht="15.75">
      <c r="B17" s="14"/>
      <c r="C17" s="14" t="s">
        <v>60</v>
      </c>
      <c r="G17" s="14" t="s">
        <v>60</v>
      </c>
    </row>
    <row r="18" spans="2:13" ht="16.5">
      <c r="B18" s="14"/>
      <c r="C18" s="14" t="s">
        <v>62</v>
      </c>
      <c r="G18" s="14" t="s">
        <v>62</v>
      </c>
      <c r="H18" s="120" t="s">
        <v>21</v>
      </c>
    </row>
    <row r="19" spans="2:13">
      <c r="B19" s="113"/>
    </row>
    <row r="20" spans="2:13" ht="15.75" thickBot="1">
      <c r="J20" s="77"/>
      <c r="K20" s="77"/>
    </row>
    <row r="21" spans="2:13" ht="15.75" thickBot="1">
      <c r="C21" s="32" t="s">
        <v>58</v>
      </c>
      <c r="D21" s="32" t="s">
        <v>60</v>
      </c>
      <c r="E21" s="32" t="s">
        <v>67</v>
      </c>
      <c r="G21" s="33" t="s">
        <v>58</v>
      </c>
      <c r="H21" s="34" t="s">
        <v>60</v>
      </c>
      <c r="I21" s="34" t="s">
        <v>67</v>
      </c>
      <c r="K21" s="77"/>
      <c r="L21" s="77"/>
    </row>
    <row r="22" spans="2:13" ht="15.75" thickBot="1">
      <c r="B22" s="35" t="s">
        <v>161</v>
      </c>
      <c r="C22" s="114">
        <v>6039</v>
      </c>
      <c r="D22" s="114">
        <v>7234</v>
      </c>
      <c r="E22" s="115">
        <v>4718</v>
      </c>
      <c r="G22" s="38">
        <v>285504.93823378882</v>
      </c>
      <c r="H22" s="38">
        <v>342352.58287406876</v>
      </c>
      <c r="I22" s="38">
        <v>225157.80568052636</v>
      </c>
    </row>
    <row r="23" spans="2:13" ht="15.75" thickBot="1">
      <c r="B23" s="35" t="s">
        <v>162</v>
      </c>
      <c r="C23" s="116">
        <v>11481</v>
      </c>
      <c r="D23" s="116">
        <v>13745</v>
      </c>
      <c r="E23" s="117">
        <v>8241</v>
      </c>
      <c r="G23" s="38">
        <v>829609.71214806172</v>
      </c>
      <c r="H23" s="38">
        <v>993406.29874636885</v>
      </c>
      <c r="I23" s="38">
        <v>615719.4840646754</v>
      </c>
    </row>
    <row r="24" spans="2:13" ht="19.5" thickBot="1">
      <c r="D24" s="190" t="s">
        <v>76</v>
      </c>
      <c r="E24" s="191"/>
      <c r="G24" s="201"/>
      <c r="H24" s="202"/>
      <c r="I24" s="202"/>
      <c r="J24" s="202"/>
      <c r="K24" s="202"/>
      <c r="L24" s="202"/>
      <c r="M24" s="202"/>
    </row>
  </sheetData>
  <mergeCells count="7">
    <mergeCell ref="G3:J3"/>
    <mergeCell ref="G4:I4"/>
    <mergeCell ref="H6:I6"/>
    <mergeCell ref="D24:E24"/>
    <mergeCell ref="G24:M24"/>
    <mergeCell ref="H10:H11"/>
    <mergeCell ref="H12:H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cca1a5-9e65-43fc-969a-3cdf99d0dbdd">
      <Terms xmlns="http://schemas.microsoft.com/office/infopath/2007/PartnerControls"/>
    </lcf76f155ced4ddcb4097134ff3c332f>
    <TaxCatchAll xmlns="e2f08a67-5e28-4dff-a9d9-1966c6465be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AD50C4ED3C2A49BE84997A70A807A5" ma:contentTypeVersion="16" ma:contentTypeDescription="Crear nuevo documento." ma:contentTypeScope="" ma:versionID="efac78c7e415b69b135cc46d151f4887">
  <xsd:schema xmlns:xsd="http://www.w3.org/2001/XMLSchema" xmlns:xs="http://www.w3.org/2001/XMLSchema" xmlns:p="http://schemas.microsoft.com/office/2006/metadata/properties" xmlns:ns2="92cca1a5-9e65-43fc-969a-3cdf99d0dbdd" xmlns:ns3="e2f08a67-5e28-4dff-a9d9-1966c6465be9" targetNamespace="http://schemas.microsoft.com/office/2006/metadata/properties" ma:root="true" ma:fieldsID="f6fe827fef0496c038a2efe67f835783" ns2:_="" ns3:_="">
    <xsd:import namespace="92cca1a5-9e65-43fc-969a-3cdf99d0dbdd"/>
    <xsd:import namespace="e2f08a67-5e28-4dff-a9d9-1966c6465b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ca1a5-9e65-43fc-969a-3cdf99d0db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ee18b77a-617f-412d-a13f-eee8492afc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08a67-5e28-4dff-a9d9-1966c6465be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d4b4e6a-c93e-4554-8ecf-c7f4a07ad9db}" ma:internalName="TaxCatchAll" ma:showField="CatchAllData" ma:web="e2f08a67-5e28-4dff-a9d9-1966c6465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29CE86-B3DE-4C39-AF7E-A665C418844F}"/>
</file>

<file path=customXml/itemProps2.xml><?xml version="1.0" encoding="utf-8"?>
<ds:datastoreItem xmlns:ds="http://schemas.openxmlformats.org/officeDocument/2006/customXml" ds:itemID="{6C172654-4C31-4807-9DF7-600513D8DCDD}"/>
</file>

<file path=customXml/itemProps3.xml><?xml version="1.0" encoding="utf-8"?>
<ds:datastoreItem xmlns:ds="http://schemas.openxmlformats.org/officeDocument/2006/customXml" ds:itemID="{416045FA-9BA3-4939-8EB2-5632AD0B5B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Jonas Palazzo</dc:creator>
  <cp:keywords/>
  <dc:description/>
  <cp:lastModifiedBy/>
  <cp:revision/>
  <dcterms:created xsi:type="dcterms:W3CDTF">2025-07-01T20:24:45Z</dcterms:created>
  <dcterms:modified xsi:type="dcterms:W3CDTF">2026-04-08T16:55:34Z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0x010100E1AD50C4ED3C2A49BE84997A70A807A5</vt:lpwstr>
  </property>
</Properties>
</file>